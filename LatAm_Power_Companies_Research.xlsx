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mpany Overview" sheetId="2" state="visible" r:id="rId2"/>
    <sheet name="Generation Mix" sheetId="3" state="visible" r:id="rId3"/>
    <sheet name="PPAs" sheetId="4" state="visible" r:id="rId4"/>
    <sheet name="Notes &amp; Verification" sheetId="5" state="visible" r:id="rId5"/>
    <sheet name="Key Sources" sheetId="6" state="visible" r:id="rId6"/>
    <sheet name="Gas &amp; Investment Hurdle Rates" sheetId="7" state="visible" r:id="rId7"/>
    <sheet name="Eneva Project IRRs" sheetId="8" state="visible" r:id="rId8"/>
    <sheet name="Hurdle Rates - Coverage &amp; Gaps" sheetId="9" state="visible" r:id="rId9"/>
    <sheet name="Capacity IRR Benchmarks" sheetId="10" state="visible" r:id="rId10"/>
    <sheet name="Capacity IRR - Synthesis" sheetId="11" state="visible" r:id="rId11"/>
    <sheet name="Capacity IRR - Calculator"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1F4E79"/>
      <sz val="16"/>
    </font>
    <font>
      <name val="Arial"/>
      <i val="1"/>
      <color rgb="00595959"/>
      <sz val="10"/>
    </font>
    <font>
      <name val="Arial"/>
      <b val="1"/>
      <color rgb="00000000"/>
      <sz val="10"/>
    </font>
    <font>
      <name val="Arial"/>
      <color rgb="00000000"/>
      <sz val="10"/>
    </font>
    <font>
      <name val="Arial"/>
      <b val="1"/>
      <color rgb="00FFFFFF"/>
      <sz val="13"/>
    </font>
    <font>
      <name val="Arial"/>
      <b val="1"/>
      <color rgb="00FFFFFF"/>
      <sz val="10"/>
    </font>
    <font>
      <name val="Arial"/>
      <color rgb="000563C1"/>
      <sz val="9"/>
      <u val="single"/>
    </font>
    <font>
      <name val="Arial"/>
      <i val="1"/>
      <color rgb="007F7F7F"/>
      <sz val="10"/>
    </font>
    <font>
      <name val="Arial"/>
      <b val="1"/>
      <color rgb="00FFFFFF"/>
      <sz val="12"/>
    </font>
    <font>
      <name val="Arial"/>
      <b val="1"/>
      <color rgb="00000000"/>
      <sz val="9.5"/>
    </font>
    <font>
      <name val="Arial"/>
      <color rgb="00000000"/>
      <sz val="9.5"/>
    </font>
    <font>
      <name val="Arial"/>
      <b val="1"/>
      <color rgb="001F4E79"/>
      <sz val="15"/>
    </font>
    <font>
      <name val="Arial"/>
      <b val="1"/>
      <color rgb="001F4E79"/>
      <sz val="11"/>
    </font>
    <font>
      <name val="Arial"/>
      <i val="1"/>
      <color rgb="00595959"/>
      <sz val="9.5"/>
    </font>
    <font>
      <name val="Arial"/>
      <color rgb="000000FF"/>
      <sz val="10"/>
    </font>
    <font>
      <name val="Arial"/>
      <color rgb="00404040"/>
      <sz val="9.5"/>
    </font>
    <font>
      <name val="Arial"/>
      <b val="1"/>
      <color rgb="00000000"/>
      <sz val="11"/>
    </font>
    <font>
      <name val="Arial"/>
      <b val="1"/>
      <color rgb="00375623"/>
      <sz val="9.5"/>
    </font>
  </fonts>
  <fills count="14">
    <fill>
      <patternFill/>
    </fill>
    <fill>
      <patternFill patternType="gray125"/>
    </fill>
    <fill>
      <patternFill patternType="solid">
        <fgColor rgb="001F4E79"/>
      </patternFill>
    </fill>
    <fill>
      <patternFill patternType="solid">
        <fgColor rgb="00EAF0F7"/>
      </patternFill>
    </fill>
    <fill>
      <patternFill patternType="solid">
        <fgColor rgb="00FCE4D6"/>
      </patternFill>
    </fill>
    <fill>
      <patternFill patternType="solid">
        <fgColor rgb="00E2EFDA"/>
      </patternFill>
    </fill>
    <fill>
      <patternFill patternType="solid">
        <fgColor rgb="00DDEBF7"/>
      </patternFill>
    </fill>
    <fill>
      <patternFill patternType="solid">
        <fgColor rgb="00F2F2F2"/>
      </patternFill>
    </fill>
    <fill>
      <patternFill patternType="solid">
        <fgColor rgb="00F2F5F9"/>
      </patternFill>
    </fill>
    <fill>
      <patternFill patternType="solid">
        <fgColor rgb="002E5A88"/>
      </patternFill>
    </fill>
    <fill>
      <patternFill patternType="solid">
        <fgColor rgb="00FFF2CC"/>
      </patternFill>
    </fill>
    <fill>
      <patternFill patternType="solid">
        <fgColor rgb="00EDEDED"/>
      </patternFill>
    </fill>
    <fill>
      <patternFill patternType="solid">
        <fgColor rgb="00FEF9E7"/>
      </patternFill>
    </fill>
    <fill>
      <patternFill patternType="solid">
        <fgColor rgb="00FFFF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9">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0" applyAlignment="1" pivotButton="0" quotePrefix="0" xfId="0">
      <alignment horizontal="left" vertical="center"/>
    </xf>
    <xf numFmtId="0" fontId="6" fillId="2" borderId="1" applyAlignment="1" pivotButton="0" quotePrefix="0" xfId="0">
      <alignment horizontal="center" vertical="center" wrapText="1"/>
    </xf>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7" fillId="0" borderId="1" applyAlignment="1" pivotButton="0" quotePrefix="0" xfId="0">
      <alignment horizontal="left" vertical="top"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7" fillId="3" borderId="1" applyAlignment="1" pivotButton="0" quotePrefix="0" xfId="0">
      <alignment horizontal="left" vertical="top" wrapText="1"/>
    </xf>
    <xf numFmtId="0" fontId="4" fillId="3" borderId="1" applyAlignment="1" pivotButton="0" quotePrefix="0" xfId="0">
      <alignment horizontal="center" vertical="center" wrapText="1"/>
    </xf>
    <xf numFmtId="0" fontId="4" fillId="3" borderId="1" applyAlignment="1" pivotButton="0" quotePrefix="0" xfId="0">
      <alignment horizontal="center" vertical="center"/>
    </xf>
    <xf numFmtId="0" fontId="8" fillId="0" borderId="1" applyAlignment="1" pivotButton="0" quotePrefix="0" xfId="0">
      <alignment horizontal="left" vertical="top" wrapText="1"/>
    </xf>
    <xf numFmtId="0" fontId="8" fillId="3" borderId="1" applyAlignment="1" pivotButton="0" quotePrefix="0" xfId="0">
      <alignment horizontal="left" vertical="top" wrapText="1"/>
    </xf>
    <xf numFmtId="0" fontId="9" fillId="2" borderId="0" applyAlignment="1" pivotButton="0" quotePrefix="0" xfId="0">
      <alignment horizontal="left" vertical="center"/>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7"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4" fillId="5" borderId="1" applyAlignment="1" pivotButton="0" quotePrefix="0" xfId="0">
      <alignment horizontal="center" vertical="top" wrapText="1"/>
    </xf>
    <xf numFmtId="0" fontId="7"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4" fillId="6" borderId="1" applyAlignment="1" pivotButton="0" quotePrefix="0" xfId="0">
      <alignment horizontal="center" vertical="top" wrapText="1"/>
    </xf>
    <xf numFmtId="0" fontId="7" fillId="6" borderId="1" applyAlignment="1" pivotButton="0" quotePrefix="0" xfId="0">
      <alignment horizontal="left" vertical="top" wrapText="1"/>
    </xf>
    <xf numFmtId="0" fontId="3" fillId="7" borderId="1" applyAlignment="1" pivotButton="0" quotePrefix="0" xfId="0">
      <alignment horizontal="left" vertical="top" wrapText="1"/>
    </xf>
    <xf numFmtId="0" fontId="4" fillId="7" borderId="1" applyAlignment="1" pivotButton="0" quotePrefix="0" xfId="0">
      <alignment horizontal="left" vertical="top" wrapText="1"/>
    </xf>
    <xf numFmtId="0" fontId="4" fillId="7" borderId="1" applyAlignment="1" pivotButton="0" quotePrefix="0" xfId="0">
      <alignment horizontal="center" vertical="top" wrapText="1"/>
    </xf>
    <xf numFmtId="0" fontId="7" fillId="7" borderId="1" applyAlignment="1" pivotButton="0" quotePrefix="0" xfId="0">
      <alignment horizontal="left" vertical="top" wrapText="1"/>
    </xf>
    <xf numFmtId="0" fontId="0" fillId="0" borderId="4" pivotButton="0" quotePrefix="0" xfId="0"/>
    <xf numFmtId="0" fontId="0" fillId="0" borderId="5" pivotButton="0" quotePrefix="0" xfId="0"/>
    <xf numFmtId="0" fontId="3" fillId="8" borderId="1" applyAlignment="1" pivotButton="0" quotePrefix="0" xfId="0">
      <alignment horizontal="left" vertical="top" wrapText="1"/>
    </xf>
    <xf numFmtId="0" fontId="4" fillId="8" borderId="1" applyAlignment="1" pivotButton="0" quotePrefix="0" xfId="0">
      <alignment horizontal="left" vertical="top" wrapText="1"/>
    </xf>
    <xf numFmtId="0" fontId="7" fillId="0" borderId="0" pivotButton="0" quotePrefix="0" xfId="0"/>
    <xf numFmtId="0" fontId="4" fillId="0" borderId="1" applyAlignment="1" pivotButton="0" quotePrefix="0" xfId="0">
      <alignment horizontal="center" vertical="top" wrapText="1"/>
    </xf>
    <xf numFmtId="0" fontId="3" fillId="0" borderId="1" applyAlignment="1" pivotButton="0" quotePrefix="0" xfId="0">
      <alignment horizontal="center" vertical="top" wrapText="1"/>
    </xf>
    <xf numFmtId="0" fontId="4" fillId="8" borderId="1" applyAlignment="1" pivotButton="0" quotePrefix="0" xfId="0">
      <alignment horizontal="center" vertical="top" wrapText="1"/>
    </xf>
    <xf numFmtId="0" fontId="3" fillId="8" borderId="1" applyAlignment="1" pivotButton="0" quotePrefix="0" xfId="0">
      <alignment horizontal="center" vertical="top" wrapText="1"/>
    </xf>
    <xf numFmtId="0" fontId="2" fillId="0" borderId="1" applyAlignment="1" pivotButton="0" quotePrefix="0" xfId="0">
      <alignment horizontal="left" vertical="top" wrapText="1"/>
    </xf>
    <xf numFmtId="0" fontId="6" fillId="9" borderId="1" applyAlignment="1" pivotButton="0" quotePrefix="0" xfId="0">
      <alignment horizontal="left" vertical="center"/>
    </xf>
    <xf numFmtId="0" fontId="10" fillId="4" borderId="1" applyAlignment="1" pivotButton="0" quotePrefix="0" xfId="0">
      <alignment horizontal="left" vertical="top" wrapText="1"/>
    </xf>
    <xf numFmtId="0" fontId="11" fillId="4" borderId="1" applyAlignment="1" pivotButton="0" quotePrefix="0" xfId="0">
      <alignment horizontal="left" vertical="top" wrapText="1"/>
    </xf>
    <xf numFmtId="0" fontId="11" fillId="4" borderId="1" applyAlignment="1" pivotButton="0" quotePrefix="0" xfId="0">
      <alignment horizontal="center" vertical="top" wrapText="1"/>
    </xf>
    <xf numFmtId="0" fontId="10" fillId="6" borderId="1" applyAlignment="1" pivotButton="0" quotePrefix="0" xfId="0">
      <alignment horizontal="left" vertical="top" wrapText="1"/>
    </xf>
    <xf numFmtId="0" fontId="11" fillId="6" borderId="1" applyAlignment="1" pivotButton="0" quotePrefix="0" xfId="0">
      <alignment horizontal="left" vertical="top" wrapText="1"/>
    </xf>
    <xf numFmtId="0" fontId="11" fillId="6" borderId="1" applyAlignment="1" pivotButton="0" quotePrefix="0" xfId="0">
      <alignment horizontal="center" vertical="top" wrapText="1"/>
    </xf>
    <xf numFmtId="0" fontId="10" fillId="5" borderId="1" applyAlignment="1" pivotButton="0" quotePrefix="0" xfId="0">
      <alignment horizontal="left"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0" fontId="10" fillId="10" borderId="1" applyAlignment="1" pivotButton="0" quotePrefix="0" xfId="0">
      <alignment horizontal="left" vertical="top" wrapText="1"/>
    </xf>
    <xf numFmtId="0" fontId="11" fillId="10" borderId="1" applyAlignment="1" pivotButton="0" quotePrefix="0" xfId="0">
      <alignment horizontal="left" vertical="top" wrapText="1"/>
    </xf>
    <xf numFmtId="0" fontId="11" fillId="10" borderId="1" applyAlignment="1" pivotButton="0" quotePrefix="0" xfId="0">
      <alignment horizontal="center" vertical="top" wrapText="1"/>
    </xf>
    <xf numFmtId="0" fontId="7" fillId="10" borderId="1" applyAlignment="1" pivotButton="0" quotePrefix="0" xfId="0">
      <alignment horizontal="left" vertical="top" wrapText="1"/>
    </xf>
    <xf numFmtId="0" fontId="10" fillId="11" borderId="1" applyAlignment="1" pivotButton="0" quotePrefix="0" xfId="0">
      <alignment horizontal="left" vertical="top" wrapText="1"/>
    </xf>
    <xf numFmtId="0" fontId="11" fillId="11" borderId="1" applyAlignment="1" pivotButton="0" quotePrefix="0" xfId="0">
      <alignment horizontal="left" vertical="top" wrapText="1"/>
    </xf>
    <xf numFmtId="0" fontId="11" fillId="11" borderId="1" applyAlignment="1" pivotButton="0" quotePrefix="0" xfId="0">
      <alignment horizontal="center" vertical="top" wrapText="1"/>
    </xf>
    <xf numFmtId="0" fontId="7" fillId="11" borderId="1" applyAlignment="1" pivotButton="0" quotePrefix="0" xfId="0">
      <alignment horizontal="left" vertical="top" wrapText="1"/>
    </xf>
    <xf numFmtId="0" fontId="12" fillId="0" borderId="0" applyAlignment="1" pivotButton="0" quotePrefix="0" xfId="0">
      <alignment horizontal="left" vertical="top" wrapText="1"/>
    </xf>
    <xf numFmtId="0" fontId="13" fillId="0" borderId="0" applyAlignment="1" pivotButton="0" quotePrefix="0" xfId="0">
      <alignment horizontal="left" vertical="top" wrapText="1"/>
    </xf>
    <xf numFmtId="0" fontId="10"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8" borderId="1" applyAlignment="1" pivotButton="0" quotePrefix="0" xfId="0">
      <alignment horizontal="left" vertical="center" wrapText="1"/>
    </xf>
    <xf numFmtId="0" fontId="10" fillId="8"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5" fillId="2" borderId="0" applyAlignment="1" pivotButton="0" quotePrefix="0" xfId="0">
      <alignment horizontal="left" vertical="center" wrapText="1"/>
    </xf>
    <xf numFmtId="0" fontId="14" fillId="0" borderId="0" applyAlignment="1" pivotButton="0" quotePrefix="0" xfId="0">
      <alignment horizontal="left" vertical="top" wrapText="1"/>
    </xf>
    <xf numFmtId="0" fontId="6" fillId="9" borderId="1" applyAlignment="1" pivotButton="0" quotePrefix="0" xfId="0">
      <alignment horizontal="left" vertical="center" wrapText="1"/>
    </xf>
    <xf numFmtId="0" fontId="4" fillId="0" borderId="1" applyAlignment="1" pivotButton="0" quotePrefix="0" xfId="0">
      <alignment horizontal="left" vertical="center" wrapText="1"/>
    </xf>
    <xf numFmtId="164" fontId="15" fillId="12" borderId="1" applyAlignment="1" pivotButton="0" quotePrefix="0" xfId="0">
      <alignment horizontal="center" vertical="center" wrapText="1"/>
    </xf>
    <xf numFmtId="0" fontId="16" fillId="0" borderId="1" applyAlignment="1" pivotButton="0" quotePrefix="0" xfId="0">
      <alignment horizontal="left" vertical="center" wrapText="1"/>
    </xf>
    <xf numFmtId="2" fontId="15" fillId="12" borderId="1" applyAlignment="1" pivotButton="0" quotePrefix="0" xfId="0">
      <alignment horizontal="center" vertical="center" wrapText="1"/>
    </xf>
    <xf numFmtId="164" fontId="15" fillId="13" borderId="1" applyAlignment="1" pivotButton="0" quotePrefix="0" xfId="0">
      <alignment horizontal="center" vertical="center" wrapText="1"/>
    </xf>
    <xf numFmtId="164" fontId="4" fillId="0" borderId="1" applyAlignment="1" pivotButton="0" quotePrefix="0" xfId="0">
      <alignment horizontal="center" vertical="center" wrapText="1"/>
    </xf>
    <xf numFmtId="0" fontId="17" fillId="0" borderId="1" applyAlignment="1" pivotButton="0" quotePrefix="0" xfId="0">
      <alignment horizontal="left" vertical="center" wrapText="1"/>
    </xf>
    <xf numFmtId="164" fontId="17" fillId="5" borderId="1" applyAlignment="1" pivotButton="0" quotePrefix="0" xfId="0">
      <alignment horizontal="center" vertical="center" wrapText="1"/>
    </xf>
    <xf numFmtId="0" fontId="16" fillId="5" borderId="1" applyAlignment="1" pivotButton="0" quotePrefix="0" xfId="0">
      <alignment horizontal="left" vertical="center" wrapText="1"/>
    </xf>
    <xf numFmtId="0" fontId="14"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1439124/000129281425003589/ebr20251022_6k.htm" TargetMode="External" Id="rId1" /><Relationship Type="http://schemas.openxmlformats.org/officeDocument/2006/relationships/hyperlink" Target="https://brazilstockguide.com/insights/axia-energia-4q25-results/" TargetMode="External" Id="rId2" /><Relationship Type="http://schemas.openxmlformats.org/officeDocument/2006/relationships/hyperlink" Target="https://axia.com.br (investor relations: https://ri.axia.com.br)" TargetMode="External" Id="rId3" /><Relationship Type="http://schemas.openxmlformats.org/officeDocument/2006/relationships/hyperlink" Target="https://www.econodata.com.br/consulta-empresa/04423567000121-eneva-sa" TargetMode="External" Id="rId4" /><Relationship Type="http://schemas.openxmlformats.org/officeDocument/2006/relationships/hyperlink" Target="https://www.eneva.com.br/en/our-operations/power-generation/" TargetMode="External" Id="rId5" /><Relationship Type="http://schemas.openxmlformats.org/officeDocument/2006/relationships/hyperlink" Target="https://www.eneva.com.br/en/ (Investor Relations: https://ri.eneva.com.br/en/)" TargetMode="External" Id="rId6" /><Relationship Type="http://schemas.openxmlformats.org/officeDocument/2006/relationships/hyperlink" Target="https://www.engie.com.br/en/investors/engie-brasil-energia-corporation/" TargetMode="External" Id="rId7" /><Relationship Type="http://schemas.openxmlformats.org/officeDocument/2006/relationships/hyperlink" Target="https://www.engie.com.br/wp-content/uploads/2026/05/Fact-Sheet-1Q26_ENG-1.pdf" TargetMode="External" Id="rId8" /><Relationship Type="http://schemas.openxmlformats.org/officeDocument/2006/relationships/hyperlink" Target="https://www.engie.com.br/en/investors/" TargetMode="External" Id="rId9" /><Relationship Type="http://schemas.openxmlformats.org/officeDocument/2006/relationships/hyperlink" Target="https://www.cmfchile.cl/institucional/mercados/entidad.php?mercado=V&amp;rut=91081000&amp;grupo=&amp;tipoentidad=RVEMI&amp;row=&amp;vig=VI&amp;control=svs&amp;pestania=1" TargetMode="External" Id="rId10" /><Relationship Type="http://schemas.openxmlformats.org/officeDocument/2006/relationships/hyperlink" Target="https://www.enel.cl/en/meet-enel/enel-generation-chile.html" TargetMode="External" Id="rId11" /><Relationship Type="http://schemas.openxmlformats.org/officeDocument/2006/relationships/hyperlink" Target="https://www.enel.cl/en/investors/investor-enel-generacion.html" TargetMode="External" Id="rId12" /><Relationship Type="http://schemas.openxmlformats.org/officeDocument/2006/relationships/hyperlink" Target="https://www.cmfchile.cl/institucional/mercados/entidad.php?mercado=V&amp;rut=96505760&amp;tipoentidad=RVEMI&amp;vig=VI&amp;control=svs&amp;pestania=1" TargetMode="External" Id="rId13" /><Relationship Type="http://schemas.openxmlformats.org/officeDocument/2006/relationships/hyperlink" Target="https://colbun.cl/docs/default-source/documentos-inversionistas/resultados-trimestrales/2025/1t25/earnings-report-1q25.pdf" TargetMode="External" Id="rId14" /><Relationship Type="http://schemas.openxmlformats.org/officeDocument/2006/relationships/hyperlink" Target="https://www.colbun.cl" TargetMode="External" Id="rId15" /><Relationship Type="http://schemas.openxmlformats.org/officeDocument/2006/relationships/hyperlink" Target="https://ri.aurenenergia.com.br/en/the-company/registration-data/" TargetMode="External" Id="rId16" /><Relationship Type="http://schemas.openxmlformats.org/officeDocument/2006/relationships/hyperlink" Target="https://api.mziq.com/mzfilemanager/v2/d/691c9da5-45e0-458f-a3da-41982b1730fc/997c8334-33a8-b100-0185-f104f94c16dd?origin=1" TargetMode="External" Id="rId17" /><Relationship Type="http://schemas.openxmlformats.org/officeDocument/2006/relationships/hyperlink" Target="https://www.aurenenergia.com.br/ (IR: https://ri.aurenenergia.com.br/en/)" TargetMode="External" Id="rId18" /><Relationship Type="http://schemas.openxmlformats.org/officeDocument/2006/relationships/hyperlink" Target="https://www.enel.cl/en/investors/investor-enel-generacion/subsidiaries/pehuenche-sa.html" TargetMode="External" Id="rId19" /><Relationship Type="http://schemas.openxmlformats.org/officeDocument/2006/relationships/hyperlink" Target="https://www.enel.cl/en/investors/investor-enel-generacion/subsidiaries/pehuenche-sa.html" TargetMode="External" Id="rId20" /><Relationship Type="http://schemas.openxmlformats.org/officeDocument/2006/relationships/hyperlink" Target="https://www.enel.cl/en/investors/investor-enel-generacion/subsidiaries/pehuenche-sa.html" TargetMode="External" Id="rId21" /><Relationship Type="http://schemas.openxmlformats.org/officeDocument/2006/relationships/hyperlink" Target="https://www.celsia.com/en/inversionistas/celsia-colombia/estructura-societaria/" TargetMode="External" Id="rId22" /><Relationship Type="http://schemas.openxmlformats.org/officeDocument/2006/relationships/hyperlink" Target="https://www.celsia.com/es/quienes-somos/que-hacemos/" TargetMode="External" Id="rId23" /><Relationship Type="http://schemas.openxmlformats.org/officeDocument/2006/relationships/hyperlink" Target="https://www.celsia.com" TargetMode="External" Id="rId24" /><Relationship Type="http://schemas.openxmlformats.org/officeDocument/2006/relationships/hyperlink" Target="https://www.econodata.com.br/consulta-empresa/03467321005824-energisa-mato-grosso-distribuidora-de-energia-sa" TargetMode="External" Id="rId25" /><Relationship Type="http://schemas.openxmlformats.org/officeDocument/2006/relationships/hyperlink" Target="https://pt.wikipedia.org/wiki/Energisa_Mato_Grosso" TargetMode="External" Id="rId26" /><Relationship Type="http://schemas.openxmlformats.org/officeDocument/2006/relationships/hyperlink" Target="https://ri.energisa.com.br/en/ (group investor relations); https://www.energisa.com.br/regioes/mato-grosso (operating unit)" TargetMode="External" Id="rId27" /><Relationship Type="http://schemas.openxmlformats.org/officeDocument/2006/relationships/hyperlink" Target="https://www.econodata.com.br/consulta-empresa/06272793000184-equatorial-maranhao-distribuidora-de-energia-sa" TargetMode="External" Id="rId28" /><Relationship Type="http://schemas.openxmlformats.org/officeDocument/2006/relationships/hyperlink" Target="https://ri.equatorialenergia.com.br/" TargetMode="External" Id="rId29" /><Relationship Type="http://schemas.openxmlformats.org/officeDocument/2006/relationships/hyperlink" Target="https://ma.equatorialenergia.com.br/ (operating utility); group investor relations: https://ri.equatorialenergia.com.br/" TargetMode="External" Id="rId30" /><Relationship Type="http://schemas.openxmlformats.org/officeDocument/2006/relationships/hyperlink" Target="https://www.econodata.com.br/consulta-empresa/02998301000181-rio-paranapanema-energia-sa" TargetMode="External" Id="rId31" /><Relationship Type="http://schemas.openxmlformats.org/officeDocument/2006/relationships/hyperlink" Target="https://www.ctgbr.com.br/en/operations/hydropower/" TargetMode="External" Id="rId32" /><Relationship Type="http://schemas.openxmlformats.org/officeDocument/2006/relationships/hyperlink" Target="https://ri.ctgbr.com.br/en/rio-paranapanema-energia/ (investor relations); parent group: https://www.ctgbr.com.br" TargetMode="External" Id="rId33" /><Relationship Type="http://schemas.openxmlformats.org/officeDocument/2006/relationships/hyperlink" Target="https://pt.wikipedia.org/wiki/Companhia_Energ%C3%A9tica_de_Bras%C3%ADlia" TargetMode="External" Id="rId34" /><Relationship Type="http://schemas.openxmlformats.org/officeDocument/2006/relationships/hyperlink" Target="https://ri.ceb.com.br/conheca-a-ceb/portfolio-de-negocios/" TargetMode="External" Id="rId35" /><Relationship Type="http://schemas.openxmlformats.org/officeDocument/2006/relationships/hyperlink" Target="https://ri.ceb.com.br/ (investor relations); https://www.ceb.com.br/ (corporate)" TargetMode="External" Id="rId36" /><Relationship Type="http://schemas.openxmlformats.org/officeDocument/2006/relationships/hyperlink" Target="https://www.cmfchile.cl/institucional/mercados/entidad.php?mercado=V&amp;rut=96817230&amp;tipoentidad=RVEMI&amp;vig=VI&amp;control=svs&amp;pestania=1" TargetMode="External" Id="rId37" /><Relationship Type="http://schemas.openxmlformats.org/officeDocument/2006/relationships/hyperlink" Target="https://www.electricapuntilla.cl/centrales/" TargetMode="External" Id="rId38" /><Relationship Type="http://schemas.openxmlformats.org/officeDocument/2006/relationships/hyperlink" Target="https://www.electricapuntilla.cl/" TargetMode="External" Id="rId39" /><Relationship Type="http://schemas.openxmlformats.org/officeDocument/2006/relationships/hyperlink" Target="https://jis.gov.jm/government/agencies/wigton-wind-farm-limited/" TargetMode="External" Id="rId40" /><Relationship Type="http://schemas.openxmlformats.org/officeDocument/2006/relationships/hyperlink" Target="https://jis.gov.jm/government/agencies/wigton-wind-farm-limited/" TargetMode="External" Id="rId41" /><Relationship Type="http://schemas.openxmlformats.org/officeDocument/2006/relationships/hyperlink" Target="https://wigtonenergy.com/" TargetMode="External" Id="rId42" /><Relationship Type="http://schemas.openxmlformats.org/officeDocument/2006/relationships/hyperlink" Target="https://stockanalysis.com/quote/snse/ENLASA/company/" TargetMode="External" Id="rId43" /><Relationship Type="http://schemas.openxmlformats.org/officeDocument/2006/relationships/hyperlink" Target="https://humphreys.cl/wp-content/uploads/2018/08/Informe-Enlasa-Generacion-Chile-Nov-2025-Anual.pdf" TargetMode="External" Id="rId44" /><Relationship Type="http://schemas.openxmlformats.org/officeDocument/2006/relationships/hyperlink" Target="https://www.enlasa.com" TargetMode="External" Id="rId45" /><Relationship Type="http://schemas.openxmlformats.org/officeDocument/2006/relationships/hyperlink" Target="https://api.mziq.com/mzfilemanager/v2/d/691c9da5-45e0-458f-a3da-41982b1730fc/e1c93456-f992-40b5-ac87-d0615d99691c?origin=1" TargetMode="External" Id="rId46" /><Relationship Type="http://schemas.openxmlformats.org/officeDocument/2006/relationships/hyperlink" Target="https://ri.aesbrasil.com.br/en/meet-aes-brasil/aes-brasil/" TargetMode="External" Id="rId47" /><Relationship Type="http://schemas.openxmlformats.org/officeDocument/2006/relationships/hyperlink" Target="https://promanmt.com.br/a-empresa/" TargetMode="External" Id="rId48" /><Relationship Type="http://schemas.openxmlformats.org/officeDocument/2006/relationships/hyperlink" Target="https://www.furnas.com.br/subsecao/124/usina-de-manso---210-mw?culture=pt" TargetMode="External" Id="rId49" /><Relationship Type="http://schemas.openxmlformats.org/officeDocument/2006/relationships/hyperlink" Target="https://promanmt.com.br/" TargetMode="External" Id="rId50" /><Relationship Type="http://schemas.openxmlformats.org/officeDocument/2006/relationships/hyperlink" Target="https://www.grupoenergiabogota.com/en/geb-group" TargetMode="External" Id="rId51" /><Relationship Type="http://schemas.openxmlformats.org/officeDocument/2006/relationships/hyperlink" Target="https://www.grupoenergiabogota.com/en/geb-group" TargetMode="External" Id="rId52" /><Relationship Type="http://schemas.openxmlformats.org/officeDocument/2006/relationships/hyperlink" Target="https://www.grupoenergiabogota.com/en" TargetMode="External" Id="rId53" /></Relationships>
</file>

<file path=xl/worksheets/_rels/sheet3.xml.rels><Relationships xmlns="http://schemas.openxmlformats.org/package/2006/relationships"><Relationship Type="http://schemas.openxmlformats.org/officeDocument/2006/relationships/hyperlink" Target="https://brazilstockguide.com/insights/axia-energia-4q25-results/" TargetMode="External" Id="rId1" /><Relationship Type="http://schemas.openxmlformats.org/officeDocument/2006/relationships/hyperlink" Target="https://www.stocktitan.net/sec-filings/AXIA/6-k-brazilian-electric-power-co-current-report-foreign-issuer-981b697daec3.html" TargetMode="External" Id="rId2" /><Relationship Type="http://schemas.openxmlformats.org/officeDocument/2006/relationships/hyperlink" Target="https://www.eneva.com.br/en/our-operations/power-generation/" TargetMode="External" Id="rId3" /><Relationship Type="http://schemas.openxmlformats.org/officeDocument/2006/relationships/hyperlink" Target="https://www.eneva.com.br/en/our-operations/power-generation/" TargetMode="External" Id="rId4" /><Relationship Type="http://schemas.openxmlformats.org/officeDocument/2006/relationships/hyperlink" Target="https://www.gem.wiki/Porto_de_Sergipe_power_station" TargetMode="External" Id="rId5" /><Relationship Type="http://schemas.openxmlformats.org/officeDocument/2006/relationships/hyperlink" Target="https://eneva.com.br/jaguatirica-ii/" TargetMode="External" Id="rId6" /><Relationship Type="http://schemas.openxmlformats.org/officeDocument/2006/relationships/hyperlink" Target="https://www.marketscreener.com/quote/stock/BANCO-BTG-PACTUAL-S-A-34041823/news/Eneva-S-A-agreed-to-acquire-Four-thermoelectric-assets-of-BTG-Pactual-47447603/" TargetMode="External" Id="rId7" /><Relationship Type="http://schemas.openxmlformats.org/officeDocument/2006/relationships/hyperlink" Target="https://www.gem.wiki/Itaqui_power_station" TargetMode="External" Id="rId8" /><Relationship Type="http://schemas.openxmlformats.org/officeDocument/2006/relationships/hyperlink" Target="https://www.gem.wiki/Pec%C3%A9m_Energia_II_power_station" TargetMode="External" Id="rId9" /><Relationship Type="http://schemas.openxmlformats.org/officeDocument/2006/relationships/hyperlink" Target="https://www.eneva.com.br/imprensa/noticias/eneva-da-inicio-a-operacao-de-um-dos-maiores-complexos-solares-das-americas-futura-i-na-bahia/" TargetMode="External" Id="rId10" /><Relationship Type="http://schemas.openxmlformats.org/officeDocument/2006/relationships/hyperlink" Target="https://www.engie.com.br/wp-content/uploads/2026/05/Fact-Sheet-1Q26_ENG-1.pdf" TargetMode="External" Id="rId11" /><Relationship Type="http://schemas.openxmlformats.org/officeDocument/2006/relationships/hyperlink" Target="https://www.engie.com.br/wp-content/uploads/2026/05/Fact-Sheet-1Q26_ENG-1.pdf" TargetMode="External" Id="rId12" /><Relationship Type="http://schemas.openxmlformats.org/officeDocument/2006/relationships/hyperlink" Target="https://www.engie.com.br/en/imprensa/press-releases/engie-surpasses-1-gw-in-wind-power-in-brazil/" TargetMode="External" Id="rId13" /><Relationship Type="http://schemas.openxmlformats.org/officeDocument/2006/relationships/hyperlink" Target="https://www.engie.com.br/en/imprensa/press-releases/assu-sol-photovoltaic-complex-engies-largest-solar-energy-asset-worldwide-now-operating-at-full-commercial-capacity/" TargetMode="External" Id="rId14" /><Relationship Type="http://schemas.openxmlformats.org/officeDocument/2006/relationships/hyperlink" Target="https://www.engie.com.br/wp-content/uploads/2026/05/Fact-Sheet-1Q26_ENG-1.pdf" TargetMode="External" Id="rId15" /><Relationship Type="http://schemas.openxmlformats.org/officeDocument/2006/relationships/hyperlink" Target="https://www.engie.com.br/wp-content/uploads/2026/05/Fact-Sheet-1Q26_ENG-1.pdf" TargetMode="External" Id="rId16" /><Relationship Type="http://schemas.openxmlformats.org/officeDocument/2006/relationships/hyperlink" Target="https://www.enel.cl/en/meet-enel/enel-generation-chile.html" TargetMode="External" Id="rId17" /><Relationship Type="http://schemas.openxmlformats.org/officeDocument/2006/relationships/hyperlink" Target="https://www.enel.cl/en/meet-enel/enel-generation-chile.html" TargetMode="External" Id="rId18" /><Relationship Type="http://schemas.openxmlformats.org/officeDocument/2006/relationships/hyperlink" Target="https://www.enel.cl/en/meet-enel/enel-generation-chile.html" TargetMode="External" Id="rId19" /><Relationship Type="http://schemas.openxmlformats.org/officeDocument/2006/relationships/hyperlink" Target="https://colbun.cl/docs/default-source/documentos-inversionistas/resultados-trimestrales/2025/1t25/earnings-report-1q25.pdf" TargetMode="External" Id="rId20" /><Relationship Type="http://schemas.openxmlformats.org/officeDocument/2006/relationships/hyperlink" Target="https://colbun.cl/docs/default-source/documentos-inversionistas/resultados-trimestrales/2025/1t25/earnings-report-1q25.pdf" TargetMode="External" Id="rId21" /><Relationship Type="http://schemas.openxmlformats.org/officeDocument/2006/relationships/hyperlink" Target="https://colbun.cl/docs/default-source/documentos-inversionistas/resultados-trimestrales/2025/1t25/earnings-report-1q25.pdf" TargetMode="External" Id="rId22" /><Relationship Type="http://schemas.openxmlformats.org/officeDocument/2006/relationships/hyperlink" Target="https://colbun.cl/docs/default-source/documentos-inversionistas/resultados-trimestrales/2025/1t25/earnings-report-1q25.pdf" TargetMode="External" Id="rId23" /><Relationship Type="http://schemas.openxmlformats.org/officeDocument/2006/relationships/hyperlink" Target="https://colbun.cl/docs/default-source/documentos-inversionistas/resultados-trimestrales/2025/1t25/earnings-report-1q25.pdf" TargetMode="External" Id="rId24" /><Relationship Type="http://schemas.openxmlformats.org/officeDocument/2006/relationships/hyperlink" Target="https://colbun.cl/docs/default-source/documentos-inversionistas/resultados-trimestrales/2025/1t25/earnings-report-1q25.pdf" TargetMode="External" Id="rId25" /><Relationship Type="http://schemas.openxmlformats.org/officeDocument/2006/relationships/hyperlink" Target="https://colbun.cl/docs/default-source/documentos-inversionistas/resultados-trimestrales/2025/1t25/earnings-report-1q25.pdf" TargetMode="External" Id="rId26" /><Relationship Type="http://schemas.openxmlformats.org/officeDocument/2006/relationships/hyperlink" Target="https://api.mziq.com/mzfilemanager/v2/d/691c9da5-45e0-458f-a3da-41982b1730fc/997c8334-33a8-b100-0185-f104f94c16dd?origin=1" TargetMode="External" Id="rId27" /><Relationship Type="http://schemas.openxmlformats.org/officeDocument/2006/relationships/hyperlink" Target="https://api.mziq.com/mzfilemanager/v2/d/691c9da5-45e0-458f-a3da-41982b1730fc/997c8334-33a8-b100-0185-f104f94c16dd?origin=1" TargetMode="External" Id="rId28" /><Relationship Type="http://schemas.openxmlformats.org/officeDocument/2006/relationships/hyperlink" Target="https://api.mziq.com/mzfilemanager/v2/d/691c9da5-45e0-458f-a3da-41982b1730fc/997c8334-33a8-b100-0185-f104f94c16dd?origin=1" TargetMode="External" Id="rId29" /><Relationship Type="http://schemas.openxmlformats.org/officeDocument/2006/relationships/hyperlink" Target="https://www.enel.cl/en/investors/investor-enel-generacion/subsidiaries/pehuenche-sa.html" TargetMode="External" Id="rId30" /><Relationship Type="http://schemas.openxmlformats.org/officeDocument/2006/relationships/hyperlink" Target="https://www.celsia.com/es/centrales-hidroelectricas/" TargetMode="External" Id="rId31" /><Relationship Type="http://schemas.openxmlformats.org/officeDocument/2006/relationships/hyperlink" Target="https://reporteintegrado2022.celsia.com/en/businesses-that-challenge-us/generation/" TargetMode="External" Id="rId32" /><Relationship Type="http://schemas.openxmlformats.org/officeDocument/2006/relationships/hyperlink" Target="https://www.larepublica.co/especiales/lr-express-congreso-andi/este-ano-celsia-alcanzara-los-350-mw-de-capacidad-de-generacion-solar-3946057" TargetMode="External" Id="rId33" /><Relationship Type="http://schemas.openxmlformats.org/officeDocument/2006/relationships/hyperlink" Target="https://360radio.com.co/detalles-de-la-primera-planta-eolica-de-celsia-en-colombia-y-cuando-generara-energia-renovable/181459/" TargetMode="External" Id="rId34" /><Relationship Type="http://schemas.openxmlformats.org/officeDocument/2006/relationships/hyperlink" Target="https://www.ctgbr.com.br/en/operations/hydropower/" TargetMode="External" Id="rId35" /><Relationship Type="http://schemas.openxmlformats.org/officeDocument/2006/relationships/hyperlink" Target="https://www.ctgbr.com.br/en/unidade/palmeiras-shpp/" TargetMode="External" Id="rId36" /><Relationship Type="http://schemas.openxmlformats.org/officeDocument/2006/relationships/hyperlink" Target="https://pt.wikipedia.org/wiki/Companhia_Energ%C3%A9tica_de_Bras%C3%ADlia" TargetMode="External" Id="rId37" /><Relationship Type="http://schemas.openxmlformats.org/officeDocument/2006/relationships/hyperlink" Target="https://www.investco.com.br/en/power-plant" TargetMode="External" Id="rId38" /><Relationship Type="http://schemas.openxmlformats.org/officeDocument/2006/relationships/hyperlink" Target="https://pt.wikipedia.org/wiki/Companhia_Energ%C3%A9tica_de_Bras%C3%ADlia" TargetMode="External" Id="rId39" /><Relationship Type="http://schemas.openxmlformats.org/officeDocument/2006/relationships/hyperlink" Target="https://pt.wikipedia.org/wiki/Companhia_Energ%C3%A9tica_de_Bras%C3%ADlia" TargetMode="External" Id="rId40" /><Relationship Type="http://schemas.openxmlformats.org/officeDocument/2006/relationships/hyperlink" Target="https://www.neoenergia.com/en/energia-hidrica/corumba" TargetMode="External" Id="rId41" /><Relationship Type="http://schemas.openxmlformats.org/officeDocument/2006/relationships/hyperlink" Target="https://noticias.stf.jus.br/postsnoticias/stf-integra-consorcio-para-a-geracao-compartilhada-de-energia/" TargetMode="External" Id="rId42" /><Relationship Type="http://schemas.openxmlformats.org/officeDocument/2006/relationships/hyperlink" Target="https://www.electricapuntilla.cl/centrales/" TargetMode="External" Id="rId43" /><Relationship Type="http://schemas.openxmlformats.org/officeDocument/2006/relationships/hyperlink" Target="https://jis.gov.jm/government/agencies/wigton-wind-farm-limited/" TargetMode="External" Id="rId44" /><Relationship Type="http://schemas.openxmlformats.org/officeDocument/2006/relationships/hyperlink" Target="https://humphreys.cl/wp-content/uploads/2018/08/Informe-Enlasa-Generacion-Chile-Nov-2025-Anual.pdf" TargetMode="External" Id="rId45" /><Relationship Type="http://schemas.openxmlformats.org/officeDocument/2006/relationships/hyperlink" Target="https://humphreys.cl/wp-content/uploads/2018/08/Informe-Enlasa-Generacion-Chile-Nov-2025-Anual.pdf" TargetMode="External" Id="rId46" /><Relationship Type="http://schemas.openxmlformats.org/officeDocument/2006/relationships/hyperlink" Target="https://ri.aesbrasil.com.br/en/meet-aes-brasil/aes-brasil/" TargetMode="External" Id="rId47" /><Relationship Type="http://schemas.openxmlformats.org/officeDocument/2006/relationships/hyperlink" Target="https://ri.aesbrasil.com.br/en/meet-aes-brasil/aes-brasil/" TargetMode="External" Id="rId48" /><Relationship Type="http://schemas.openxmlformats.org/officeDocument/2006/relationships/hyperlink" Target="https://ri.aesbrasil.com.br/en/meet-aes-brasil/aes-brasil/" TargetMode="External" Id="rId49" /><Relationship Type="http://schemas.openxmlformats.org/officeDocument/2006/relationships/hyperlink" Target="https://www.furnas.com.br/subsecao/124/usina-de-manso---210-mw?culture=pt" TargetMode="External" Id="rId50" /></Relationships>
</file>

<file path=xl/worksheets/_rels/sheet4.xml.rels><Relationships xmlns="http://schemas.openxmlformats.org/package/2006/relationships"><Relationship Type="http://schemas.openxmlformats.org/officeDocument/2006/relationships/hyperlink" Target="https://brazilstockguide.com/insights/axia-energia-4q25-results/" TargetMode="External" Id="rId1" /><Relationship Type="http://schemas.openxmlformats.org/officeDocument/2006/relationships/hyperlink" Target="https://brazilstockguide.com/insights/axia-energia-4q25-results/" TargetMode="External" Id="rId2" /><Relationship Type="http://schemas.openxmlformats.org/officeDocument/2006/relationships/hyperlink" Target="https://www.tipranks.com/news/company-announcements/axia-energia-wins-190-mw-in-brazils-2026-capacity-auction-for-luiz-gonzaga-expansion" TargetMode="External" Id="rId3" /><Relationship Type="http://schemas.openxmlformats.org/officeDocument/2006/relationships/hyperlink" Target="https://brazilstockguide.com/insights/axia-energia-4q25-results/" TargetMode="External" Id="rId4" /><Relationship Type="http://schemas.openxmlformats.org/officeDocument/2006/relationships/hyperlink" Target="https://researchxp1.s3.sa-east-1.amazonaws.com/2025.11.30+-+ENEV+IoC.pdf" TargetMode="External" Id="rId5" /><Relationship Type="http://schemas.openxmlformats.org/officeDocument/2006/relationships/hyperlink" Target="https://api.mziq.com/mzfilemanager/v2/d/6c663f3b-ae5a-4692-81d3-ab23ee84c1de/d2d3f5f1-a230-ca7f-9e6b-b1057e121d5c?origin=1" TargetMode="External" Id="rId6" /><Relationship Type="http://schemas.openxmlformats.org/officeDocument/2006/relationships/hyperlink" Target="https://canalsolar.com.br/en/eneva-markets-all-future-solar-complex-energy/" TargetMode="External" Id="rId7" /><Relationship Type="http://schemas.openxmlformats.org/officeDocument/2006/relationships/hyperlink" Target="https://canalsolar.com.br/en/eneva-markets-all-future-solar-complex-energy/" TargetMode="External" Id="rId8" /><Relationship Type="http://schemas.openxmlformats.org/officeDocument/2006/relationships/hyperlink" Target="https://www.eneva.com.br/en/our-operations/power-generation/" TargetMode="External" Id="rId9" /><Relationship Type="http://schemas.openxmlformats.org/officeDocument/2006/relationships/hyperlink" Target="https://www.engie.com.br/wp-content/uploads/2025/11/Fact-Sheet-3T25_ENG.pdf" TargetMode="External" Id="rId10" /><Relationship Type="http://schemas.openxmlformats.org/officeDocument/2006/relationships/hyperlink" Target="https://www.engie.com.br/wp-content/uploads/2025/11/Fact-Sheet-3T25_ENG.pdf" TargetMode="External" Id="rId11" /><Relationship Type="http://schemas.openxmlformats.org/officeDocument/2006/relationships/hyperlink" Target="https://www.engie.com.br/wp-content/uploads/2025/11/Fact-Sheet-3T25_ENG.pdf" TargetMode="External" Id="rId12" /><Relationship Type="http://schemas.openxmlformats.org/officeDocument/2006/relationships/hyperlink" Target="https://www.engie.com.br/wp-content/uploads/2025/03/DF-EBE-31.12.2024-versao-ingles.pdf" TargetMode="External" Id="rId13" /><Relationship Type="http://schemas.openxmlformats.org/officeDocument/2006/relationships/hyperlink" Target="https://www.cne.cl/en/prensa/prensa-2024/5-mayo-de-2024/licitacion-de-suministro-electrico-a-clientes-regulados-alcanzo-precio-de-56679us-mwh/" TargetMode="External" Id="rId14" /><Relationship Type="http://schemas.openxmlformats.org/officeDocument/2006/relationships/hyperlink" Target="https://www.enel.cl/en/investors/investor-enel-generacion/reports/annual-reports.html" TargetMode="External" Id="rId15" /><Relationship Type="http://schemas.openxmlformats.org/officeDocument/2006/relationships/hyperlink" Target="https://colbun.cl/docs/default-source/documentos-inversionistas/resultados-trimestrales/2025/1t25/earnings-report-1q25.pdf" TargetMode="External" Id="rId16" /><Relationship Type="http://schemas.openxmlformats.org/officeDocument/2006/relationships/hyperlink" Target="https://colbun.cl/docs/default-source/documentos-inversionistas/resultados-trimestrales/2025/1t25/earnings-report-1q25.pdf" TargetMode="External" Id="rId17" /><Relationship Type="http://schemas.openxmlformats.org/officeDocument/2006/relationships/hyperlink" Target="https://colbun.cl/docs/default-source/documentos-inversionistas/resultados-trimestrales/2025/1t25/earnings-report-1q25.pdf" TargetMode="External" Id="rId18" /><Relationship Type="http://schemas.openxmlformats.org/officeDocument/2006/relationships/hyperlink" Target="https://www.pv-tech.org/total-and-sunpower-win-ppa-for-164mw-chile-pv-project-from-colbun/" TargetMode="External" Id="rId19" /><Relationship Type="http://schemas.openxmlformats.org/officeDocument/2006/relationships/hyperlink" Target="https://www.datacenterdynamics.com/en/news/equinix-signs-self-generation-agreement-with-auren-energia/" TargetMode="External" Id="rId20" /><Relationship Type="http://schemas.openxmlformats.org/officeDocument/2006/relationships/hyperlink" Target="https://www.moneytimes.com.br/auren-energia-tem-lucro-no-4t25-ve-oportunidade-nos-leiloes-e-trading-rnda/" TargetMode="External" Id="rId21" /><Relationship Type="http://schemas.openxmlformats.org/officeDocument/2006/relationships/hyperlink" Target="https://www.moneytimes.com.br/auren-energia-tem-lucro-no-4t25-ve-oportunidade-nos-leiloes-e-trading-rnda/" TargetMode="External" Id="rId22" /><Relationship Type="http://schemas.openxmlformats.org/officeDocument/2006/relationships/hyperlink" Target="https://www.enel.cl/content/dam/enel-cl/inversionistas/enel-generacion-chile/filiales/pehuenche-sa/gobierno-coporativo/estados-financieros/2022/EEFF-Pehuenche-202212.pdf" TargetMode="External" Id="rId23" /><Relationship Type="http://schemas.openxmlformats.org/officeDocument/2006/relationships/hyperlink" Target="https://www.celsia.com/es/quienes-somos/que-hacemos/" TargetMode="External" Id="rId24" /><Relationship Type="http://schemas.openxmlformats.org/officeDocument/2006/relationships/hyperlink" Target="https://www.celsia.com/en/noticias/nuevos-proyectos-eolicos-de-celsia-aportaran-el-18-de-la-electricidad-adjudicada-en-la-subasta-de-energias-renovables/" TargetMode="External" Id="rId25" /><Relationship Type="http://schemas.openxmlformats.org/officeDocument/2006/relationships/hyperlink" Target="https://www.celsia.com/en/noticias/nuevos-proyectos-eolicos-de-celsia-aportaran-el-18-de-la-electricidad-adjudicada-en-la-subasta-de-energias-renovables/" TargetMode="External" Id="rId26" /><Relationship Type="http://schemas.openxmlformats.org/officeDocument/2006/relationships/hyperlink" Target="https://www.celsia.com/es/soluciones-en-eficiencia-energetica-para-empresas-y-constructoras/energia-solar-para-empresas/" TargetMode="External" Id="rId27" /><Relationship Type="http://schemas.openxmlformats.org/officeDocument/2006/relationships/hyperlink" Target="https://www.xm.com.co/transacciones/asignacion-subasta/descripcion-subastas-0" TargetMode="External" Id="rId28" /><Relationship Type="http://schemas.openxmlformats.org/officeDocument/2006/relationships/hyperlink" Target="https://ri.energisa.com.br/en/setor-eletrico-brasileiro/" TargetMode="External" Id="rId29" /><Relationship Type="http://schemas.openxmlformats.org/officeDocument/2006/relationships/hyperlink" Target="https://www.aneel.gov.br/" TargetMode="External" Id="rId30" /><Relationship Type="http://schemas.openxmlformats.org/officeDocument/2006/relationships/hyperlink" Target="https://api.mziq.com/mzfilemanager/v2/d/5b6d81c0-07fe-4bdb-8bb9-14699e84f3c9/b38c84bf-39f0-233f-4638-85f9988dbe9a?origin=1" TargetMode="External" Id="rId31" /><Relationship Type="http://schemas.openxmlformats.org/officeDocument/2006/relationships/hyperlink" Target="https://api.mziq.com/mzfilemanager/v2/d/5b6d81c0-07fe-4bdb-8bb9-14699e84f3c9/b38c84bf-39f0-233f-4638-85f9988dbe9a?origin=1" TargetMode="External" Id="rId32" /><Relationship Type="http://schemas.openxmlformats.org/officeDocument/2006/relationships/hyperlink" Target="https://pt.wikipedia.org/wiki/Companhia_Energ%C3%A9tica_de_Bras%C3%ADlia" TargetMode="External" Id="rId33" /><Relationship Type="http://schemas.openxmlformats.org/officeDocument/2006/relationships/hyperlink" Target="https://www.correiobraziliense.com.br/static/pdf-publicidade-legal/CEB_Balan%C3%A7o_Anual_2025_Abr26_Corre%C3%A7%C3%A3o_D41D8CD98.pdf" TargetMode="External" Id="rId34" /><Relationship Type="http://schemas.openxmlformats.org/officeDocument/2006/relationships/hyperlink" Target="https://www.investco.com.br/en/power-plant" TargetMode="External" Id="rId35" /><Relationship Type="http://schemas.openxmlformats.org/officeDocument/2006/relationships/hyperlink" Target="https://noticias.stf.jus.br/postsnoticias/stf-integra-consorcio-para-a-geracao-compartilhada-de-energia/" TargetMode="External" Id="rId36" /><Relationship Type="http://schemas.openxmlformats.org/officeDocument/2006/relationships/hyperlink" Target="https://ncbcapitalmarkets.com/research/latestnews/5585-wigton-extends-power-purchase-agreement-with-jps-by-3-years" TargetMode="External" Id="rId37" /><Relationship Type="http://schemas.openxmlformats.org/officeDocument/2006/relationships/hyperlink" Target="https://wigtonenergy.com/news/wigton-energy-to-build-out-70mw-of-solar-over-the-next-two-years/" TargetMode="External" Id="rId38" /><Relationship Type="http://schemas.openxmlformats.org/officeDocument/2006/relationships/hyperlink" Target="https://humphreys.cl/wp-content/uploads/2018/08/Informe-Enlasa-Generacion-Chile-Nov-2025-Anual.pdf" TargetMode="External" Id="rId39" /><Relationship Type="http://schemas.openxmlformats.org/officeDocument/2006/relationships/hyperlink" Target="https://www.cmfchile.cl/documentos/pueag/crcri/recri_2017110192962.pdf" TargetMode="External" Id="rId40" /><Relationship Type="http://schemas.openxmlformats.org/officeDocument/2006/relationships/hyperlink" Target="https://mercadoeconsumo.com.br/22/12/2021/economia/aes-brasil-e-unipar-fecham-acordo-para-autoproducao-de-91-mw-em-geracao-eolica/" TargetMode="External" Id="rId41" /><Relationship Type="http://schemas.openxmlformats.org/officeDocument/2006/relationships/hyperlink" Target="https://financenews.com.br/2022/08/unipar-carbocloro-conclui-constituicao-de-joint-venture-com-a-aes-brasil-energia/" TargetMode="External" Id="rId42" /><Relationship Type="http://schemas.openxmlformats.org/officeDocument/2006/relationships/hyperlink" Target="https://ri.aesbrasil.com.br/en/meet-aes-brasil/aes-brasil/" TargetMode="External" Id="rId43" /><Relationship Type="http://schemas.openxmlformats.org/officeDocument/2006/relationships/hyperlink" Target="https://publicidadelegal.monitormercantil.com.br/wp-content/uploads/2023/03/PRODUTORES-ENERGETICOS-DE-MANSO-S.A.-%E2%80%93-PROMAN-Balanco-2022.pdf" TargetMode="External" Id="rId44" /><Relationship Type="http://schemas.openxmlformats.org/officeDocument/2006/relationships/hyperlink" Target="https://publicidadelegal.monitormercantil.com.br/wp-content/uploads/2023/03/PRODUTORES-ENERGETICOS-DE-MANSO-S.A.-%E2%80%93-PROMAN-Balanco-2022.pdf" TargetMode="External" Id="rId45" /></Relationships>
</file>

<file path=xl/worksheets/_rels/sheet6.xml.rels><Relationships xmlns="http://schemas.openxmlformats.org/package/2006/relationships"><Relationship Type="http://schemas.openxmlformats.org/officeDocument/2006/relationships/hyperlink" Target="https://axia.com.br/en/w/eletrobras-agora-e-axia" TargetMode="External" Id="rId1" /><Relationship Type="http://schemas.openxmlformats.org/officeDocument/2006/relationships/hyperlink" Target="https://ri.axia.com.br/en/axia/corporate-profile/" TargetMode="External" Id="rId2" /><Relationship Type="http://schemas.openxmlformats.org/officeDocument/2006/relationships/hyperlink" Target="https://www.axia.com.br/en/esg/sustainability-report-2025/media" TargetMode="External" Id="rId3" /><Relationship Type="http://schemas.openxmlformats.org/officeDocument/2006/relationships/hyperlink" Target="https://www.sec.gov/Archives/edgar/data/1439124/000129281425003589/ebr20251022_6k.htm" TargetMode="External" Id="rId4" /><Relationship Type="http://schemas.openxmlformats.org/officeDocument/2006/relationships/hyperlink" Target="https://www.stocktitan.net/sec-filings/AXIA/6-k-brazilian-electric-power-co-current-report-foreign-issuer-981b697daec3.html" TargetMode="External" Id="rId5" /><Relationship Type="http://schemas.openxmlformats.org/officeDocument/2006/relationships/hyperlink" Target="https://brazilstockguide.com/insights/axia-energia-4q25-results/" TargetMode="External" Id="rId6" /><Relationship Type="http://schemas.openxmlformats.org/officeDocument/2006/relationships/hyperlink" Target="https://axia.com.br/w/leilao-reserva-capacidade-investimento" TargetMode="External" Id="rId7" /><Relationship Type="http://schemas.openxmlformats.org/officeDocument/2006/relationships/hyperlink" Target="https://www.tipranks.com/news/company-announcements/axia-energia-wins-190-mw-in-brazils-2026-capacity-auction-for-luiz-gonzaga-expansion" TargetMode="External" Id="rId8" /><Relationship Type="http://schemas.openxmlformats.org/officeDocument/2006/relationships/hyperlink" Target="https://br.advfn.com/jornal/2026/03/axia-energia-vence-leilao-de-capacidade-2026-e-projeta-investimento-de-r-1-bilhao-para-expansao-de-geracao" TargetMode="External" Id="rId9" /><Relationship Type="http://schemas.openxmlformats.org/officeDocument/2006/relationships/hyperlink" Target="https://api.mziq.com/mzfilemanager/v2/d/abb77a17-3348-4bc7-849a-154998e06ca3/e4d603ae-8eea-4da8-2814-6db36f5e91e9?origin=2" TargetMode="External" Id="rId10" /><Relationship Type="http://schemas.openxmlformats.org/officeDocument/2006/relationships/hyperlink" Target="https://br.investing.com/news/stock-market-news/axia-energia-axia5-e-axia6-deixam-a-b3-e-so-restam-axia3-e-axia7-na-carteira-1967389" TargetMode="External" Id="rId11" /><Relationship Type="http://schemas.openxmlformats.org/officeDocument/2006/relationships/hyperlink" Target="https://www.eneva.com.br/en/our-operations/power-generation/" TargetMode="External" Id="rId12" /><Relationship Type="http://schemas.openxmlformats.org/officeDocument/2006/relationships/hyperlink" Target="https://ri.eneva.com.br/en/" TargetMode="External" Id="rId13" /><Relationship Type="http://schemas.openxmlformats.org/officeDocument/2006/relationships/hyperlink" Target="https://www.eneva.com.br/imprensa/noticias/eneva-da-inicio-a-operacao-de-um-dos-maiores-complexos-solares-das-americas-futura-i-na-bahia/" TargetMode="External" Id="rId14" /><Relationship Type="http://schemas.openxmlformats.org/officeDocument/2006/relationships/hyperlink" Target="https://www.econodata.com.br/consulta-empresa/04423567000121-eneva-sa" TargetMode="External" Id="rId15" /><Relationship Type="http://schemas.openxmlformats.org/officeDocument/2006/relationships/hyperlink" Target="https://finance.yahoo.com/quote/ENEV3.SA/profile/" TargetMode="External" Id="rId16" /><Relationship Type="http://schemas.openxmlformats.org/officeDocument/2006/relationships/hyperlink" Target="https://www.enerdata.net/publications/daily-energy-news/eneva-brazil-takes-over-16-gw-gas-fired-plant-and-17-gw-project.html" TargetMode="External" Id="rId17" /><Relationship Type="http://schemas.openxmlformats.org/officeDocument/2006/relationships/hyperlink" Target="https://www.power-technology.com/data-insights/power-plant-profile-ute-porto-de-sergipe-i-power-plant-brazil/" TargetMode="External" Id="rId18" /><Relationship Type="http://schemas.openxmlformats.org/officeDocument/2006/relationships/hyperlink" Target="https://www.gem.wiki/Porto_de_Sergipe_power_station" TargetMode="External" Id="rId19" /><Relationship Type="http://schemas.openxmlformats.org/officeDocument/2006/relationships/hyperlink" Target="https://www.gem.wiki/Itaqui_power_station" TargetMode="External" Id="rId20" /><Relationship Type="http://schemas.openxmlformats.org/officeDocument/2006/relationships/hyperlink" Target="https://www.gem.wiki/Pec%C3%A9m_Energia_II_power_station" TargetMode="External" Id="rId21" /><Relationship Type="http://schemas.openxmlformats.org/officeDocument/2006/relationships/hyperlink" Target="https://eneva.com.br/jaguatirica-ii/" TargetMode="External" Id="rId22" /><Relationship Type="http://schemas.openxmlformats.org/officeDocument/2006/relationships/hyperlink" Target="https://www.marketscreener.com/quote/stock/BANCO-BTG-PACTUAL-S-A-34041823/news/Eneva-S-A-agreed-to-acquire-Four-thermoelectric-assets-of-BTG-Pactual-47447603/" TargetMode="External" Id="rId23" /><Relationship Type="http://schemas.openxmlformats.org/officeDocument/2006/relationships/hyperlink" Target="https://canalsolar.com.br/en/eneva-markets-all-future-solar-complex-energy/" TargetMode="External" Id="rId24" /><Relationship Type="http://schemas.openxmlformats.org/officeDocument/2006/relationships/hyperlink" Target="https://www.nsenergybusiness.com/company-news/eneva-starts-commercial-operation-837mwp-futura-i-solar-complex/" TargetMode="External" Id="rId25" /><Relationship Type="http://schemas.openxmlformats.org/officeDocument/2006/relationships/hyperlink" Target="https://researchxp1.s3.sa-east-1.amazonaws.com/2025.11.30+-+ENEV+IoC.pdf" TargetMode="External" Id="rId26" /><Relationship Type="http://schemas.openxmlformats.org/officeDocument/2006/relationships/hyperlink" Target="https://datamarnews.com/noticias/eneva-diamante-win-capacity-auction-for-new-natural-gas-fired-power-plant-at-pecem-complex/" TargetMode="External" Id="rId27" /><Relationship Type="http://schemas.openxmlformats.org/officeDocument/2006/relationships/hyperlink" Target="https://www.engie.com.br/wp-content/uploads/2026/05/Fact-Sheet-1Q26_ENG-1.pdf" TargetMode="External" Id="rId28" /><Relationship Type="http://schemas.openxmlformats.org/officeDocument/2006/relationships/hyperlink" Target="https://www.engie.com.br/en/imprensa/press-releases/engie-brasil-energia-records-net-operating-revenue-of-r-3-4-billion-in-the-first-quarter-of-2026/" TargetMode="External" Id="rId29" /><Relationship Type="http://schemas.openxmlformats.org/officeDocument/2006/relationships/hyperlink" Target="https://www.engie.com.br/wp-content/uploads/2025/11/Fact-Sheet-3T25_ENG.pdf" TargetMode="External" Id="rId30" /><Relationship Type="http://schemas.openxmlformats.org/officeDocument/2006/relationships/hyperlink" Target="https://www.engie.com.br/wp-content/uploads/2025/02/Fact-Sheet-4Q24_ENG.pdf" TargetMode="External" Id="rId31" /><Relationship Type="http://schemas.openxmlformats.org/officeDocument/2006/relationships/hyperlink" Target="https://www.engie.com.br/wp-content/uploads/2025/03/DF-EBE-31.12.2024-versao-ingles.pdf" TargetMode="External" Id="rId32" /><Relationship Type="http://schemas.openxmlformats.org/officeDocument/2006/relationships/hyperlink" Target="https://www.engie.com.br/en/investors/engie-brasil-energia-corporation/" TargetMode="External" Id="rId33" /><Relationship Type="http://schemas.openxmlformats.org/officeDocument/2006/relationships/hyperlink" Target="https://www.engie.com.br/en/institutional/about-engie/" TargetMode="External" Id="rId34" /><Relationship Type="http://schemas.openxmlformats.org/officeDocument/2006/relationships/hyperlink" Target="https://www.engie.com.br/en/imprensa/press-releases/engie-brasil-energia-grows-14-6-in-revenue-and-invests-r-6-billion-in-2025/" TargetMode="External" Id="rId35" /><Relationship Type="http://schemas.openxmlformats.org/officeDocument/2006/relationships/hyperlink" Target="https://www.engie.com.br/en/imprensa/press-releases/assu-sol-photovoltaic-complex-engies-largest-solar-energy-asset-worldwide-now-operating-at-full-commercial-capacity/" TargetMode="External" Id="rId36" /><Relationship Type="http://schemas.openxmlformats.org/officeDocument/2006/relationships/hyperlink" Target="https://www.engie.com.br/en/imprensa/press-releases/engie-surpasses-1-gw-in-wind-power-in-brazil/" TargetMode="External" Id="rId37" /><Relationship Type="http://schemas.openxmlformats.org/officeDocument/2006/relationships/hyperlink" Target="https://www.enel.cl/en/meet-enel/enel-generation-chile.html" TargetMode="External" Id="rId38" /><Relationship Type="http://schemas.openxmlformats.org/officeDocument/2006/relationships/hyperlink" Target="https://www.enel.cl/content/dam/enel-cl/inversionistas/enel-generacion-chile/reportes/memorias/2024/Memoria-Anual-Integrada-Enel-Generacion-2024.pdf" TargetMode="External" Id="rId39" /><Relationship Type="http://schemas.openxmlformats.org/officeDocument/2006/relationships/hyperlink" Target="https://www.enel.cl/en/investors/investor-enel-generacion.html" TargetMode="External" Id="rId40" /><Relationship Type="http://schemas.openxmlformats.org/officeDocument/2006/relationships/hyperlink" Target="https://www.enel.cl/en/investors/investor-enel-generacion/reports/annual-reports.html" TargetMode="External" Id="rId41" /><Relationship Type="http://schemas.openxmlformats.org/officeDocument/2006/relationships/hyperlink" Target="https://www.cmfchile.cl/institucional/mercados/entidad.php?mercado=V&amp;rut=91081000&amp;grupo=&amp;tipoentidad=RVEMI&amp;row=&amp;vig=VI&amp;control=svs&amp;pestania=1" TargetMode="External" Id="rId42" /><Relationship Type="http://schemas.openxmlformats.org/officeDocument/2006/relationships/hyperlink" Target="https://www.cne.cl/en/prensa/prensa-2024/5-mayo-de-2024/licitacion-de-suministro-electrico-a-clientes-regulados-alcanzo-precio-de-56679us-mwh/" TargetMode="External" Id="rId43" /><Relationship Type="http://schemas.openxmlformats.org/officeDocument/2006/relationships/hyperlink" Target="https://www.licitacioneselectricas.cl/licitaciones-anteriores/licitacion-de-suministro-202301/" TargetMode="External" Id="rId44" /><Relationship Type="http://schemas.openxmlformats.org/officeDocument/2006/relationships/hyperlink" Target="https://renewablesnow.com/news/enel-sweeps-chiles-2023-power-tender-857377/" TargetMode="External" Id="rId45" /><Relationship Type="http://schemas.openxmlformats.org/officeDocument/2006/relationships/hyperlink" Target="https://colbun.cl/docs/default-source/documentos-inversionistas/resultados-trimestrales/2025/1t25/earnings-report-1q25.pdf (Colb&#250;n 1Q25 Earnings Report - official, primary capacity source; HTTP 403 in this env, not re-fetchable)" TargetMode="External" Id="rId46" /><Relationship Type="http://schemas.openxmlformats.org/officeDocument/2006/relationships/hyperlink" Target="https://colbun.cl/docs/default-source/documentos-inversionistas/resultados-trimestrales/2025/4t25/earnings-report-4q25.pdf (Colb&#250;n 4Q25 Earnings Report - official, latest total; not re-fetchable)" TargetMode="External" Id="rId47" /><Relationship Type="http://schemas.openxmlformats.org/officeDocument/2006/relationships/hyperlink" Target="https://www.cmfchile.cl/institucional/mercados/entidad.php?mercado=V&amp;rut=96505760&amp;tipoentidad=RVEMI&amp;vig=VI&amp;control=svs&amp;pestania=1 (CMF Chile entity registration - official regulator; HTTP 403 in this env, not re-fetchable)" TargetMode="External" Id="rId48" /><Relationship Type="http://schemas.openxmlformats.org/officeDocument/2006/relationships/hyperlink" Target="https://www.colbun.cl/en/corporate/press-room/news-and-press-releases/detail/2025/04/29/colbun-reaches-agreement-to-achieve-100-ownership-of-peruvian-power-generator-fenix (Colb&#250;n press release - Fenix 100% ownership, official)" TargetMode="External" Id="rId49" /><Relationship Type="http://schemas.openxmlformats.org/officeDocument/2006/relationships/hyperlink" Target="https://www.colbun.cl/docs/default-source/sala-de-prensa/memoria/colbun_memoria2023_consolidado.pdf (Colb&#250;n Memoria Integrada 2023 - official)" TargetMode="External" Id="rId50" /><Relationship Type="http://schemas.openxmlformats.org/officeDocument/2006/relationships/hyperlink" Target="https://www.colbun.cl/en/corporate/investors/fenix-peru (Colb&#250;n Fenix Peru IR page - official)" TargetMode="External" Id="rId51" /><Relationship Type="http://schemas.openxmlformats.org/officeDocument/2006/relationships/hyperlink" Target="https://www.pv-tech.org/total-and-sunpower-win-ppa-for-164mw-chile-pv-project-from-colbun/ (third-party, PPA offtake)" TargetMode="External" Id="rId52" /><Relationship Type="http://schemas.openxmlformats.org/officeDocument/2006/relationships/hyperlink" Target="https://newenergyevents.com/colbun-brings-816-mw-horizonte-wind-farm-to-full-operation-chiles-largest-to-date/ (third-party, Horizonte 816 MW)" TargetMode="External" Id="rId53" /><Relationship Type="http://schemas.openxmlformats.org/officeDocument/2006/relationships/hyperlink" Target="https://www.power-technology.com/marketdata/fenix-power-combined-cycle-power-plant-peru/ (third-party, Fenix 573 MW detail)" TargetMode="External" Id="rId54" /><Relationship Type="http://schemas.openxmlformats.org/officeDocument/2006/relationships/hyperlink" Target="https://ri.aurenenergia.com.br/en/the-company/registration-data/" TargetMode="External" Id="rId55" /><Relationship Type="http://schemas.openxmlformats.org/officeDocument/2006/relationships/hyperlink" Target="https://api.mziq.com/mzfilemanager/v2/d/691c9da5-45e0-458f-a3da-41982b1730fc/997c8334-33a8-b100-0185-f104f94c16dd?origin=1" TargetMode="External" Id="rId56" /><Relationship Type="http://schemas.openxmlformats.org/officeDocument/2006/relationships/hyperlink" Target="https://www.rad.cvm.gov.br/ENETCONSULTA/frmDownloadDocumento.aspx?Tela=99&amp;numSequencia=1029653" TargetMode="External" Id="rId57" /><Relationship Type="http://schemas.openxmlformats.org/officeDocument/2006/relationships/hyperlink" Target="https://www.aurenenergia.com.br/geracao-de-energia/" TargetMode="External" Id="rId58" /><Relationship Type="http://schemas.openxmlformats.org/officeDocument/2006/relationships/hyperlink" Target="https://ri.aurenenergia.com.br/en/aes-brasil-and-auren-business-combination/" TargetMode="External" Id="rId59" /><Relationship Type="http://schemas.openxmlformats.org/officeDocument/2006/relationships/hyperlink" Target="https://www.datacenterdynamics.com/en/news/equinix-signs-self-generation-agreement-with-auren-energia/" TargetMode="External" Id="rId60" /><Relationship Type="http://schemas.openxmlformats.org/officeDocument/2006/relationships/hyperlink" Target="https://www.moneytimes.com.br/auren-energia-tem-lucro-no-4t25-ve-oportunidade-nos-leiloes-e-trading-rnda/" TargetMode="External" Id="rId61" /><Relationship Type="http://schemas.openxmlformats.org/officeDocument/2006/relationships/hyperlink" Target="https://www.canalenergia.com.br/noticias/53304384/auren-energia-fecha-4t24-com-lucro-liquido-societario-de-r-272-milhoes" TargetMode="External" Id="rId62" /><Relationship Type="http://schemas.openxmlformats.org/officeDocument/2006/relationships/hyperlink" Target="https://www.enel.cl/en/investors/investor-enel-generacion/subsidiaries/pehuenche-sa.html" TargetMode="External" Id="rId63" /><Relationship Type="http://schemas.openxmlformats.org/officeDocument/2006/relationships/hyperlink" Target="https://www.enel.cl/en/meet-enel/our-power-plants/pehuenche-hydroelectric-power-plant.html" TargetMode="External" Id="rId64" /><Relationship Type="http://schemas.openxmlformats.org/officeDocument/2006/relationships/hyperlink" Target="https://www.enel.cl/en/meet-enel/our-power-plants/curillinque-hydroelectric-power-plant.html" TargetMode="External" Id="rId65" /><Relationship Type="http://schemas.openxmlformats.org/officeDocument/2006/relationships/hyperlink" Target="https://www.enel.cl/en/meet-enel/our-power-plants/loma-alta-hydroelectric-power-plant.html" TargetMode="External" Id="rId66" /><Relationship Type="http://schemas.openxmlformats.org/officeDocument/2006/relationships/hyperlink" Target="https://www.cmfchile.cl/institucional/mercados/entidad.php?mercado=V&amp;rut=96504980&amp;grupo=&amp;tipoentidad=RVEMI&amp;vig=VI&amp;control=svs&amp;pestania=49" TargetMode="External" Id="rId67" /><Relationship Type="http://schemas.openxmlformats.org/officeDocument/2006/relationships/hyperlink" Target="https://www.enel.cl/content/dam/enel-cl/inversionistas/enel-generacion-chile/filiales/pehuenche-sa/gobierno-coporativo/estados-financieros/2022/EEFF-Pehuenche-202212.pdf" TargetMode="External" Id="rId68" /><Relationship Type="http://schemas.openxmlformats.org/officeDocument/2006/relationships/hyperlink" Target="https://www.enel.cl/content/dam/enel-cl/inversionistas/enel-generacion-chile/filiales/pehuenche-sa/gobierno-coporativo/estados-financieros/2019/EEFF-Pehuenche-2019.pdf" TargetMode="External" Id="rId69" /><Relationship Type="http://schemas.openxmlformats.org/officeDocument/2006/relationships/hyperlink" Target="https://www.bnamericas.com/en/company-profile/empresa-electrica-pehuenche-sa" TargetMode="External" Id="rId70" /><Relationship Type="http://schemas.openxmlformats.org/officeDocument/2006/relationships/hyperlink" Target="https://es.wikipedia.org/wiki/Central_hidroel%C3%A9ctrica_Pehuenche" TargetMode="External" Id="rId71" /><Relationship Type="http://schemas.openxmlformats.org/officeDocument/2006/relationships/hyperlink" Target="https://www.celsia.com/es/quienes-somos/que-hacemos/" TargetMode="External" Id="rId72" /><Relationship Type="http://schemas.openxmlformats.org/officeDocument/2006/relationships/hyperlink" Target="https://www.celsia.com/es/centrales-hidroelectricas/" TargetMode="External" Id="rId73" /><Relationship Type="http://schemas.openxmlformats.org/officeDocument/2006/relationships/hyperlink" Target="https://www.celsia.com/en/inversionistas/celsia-colombia/estructura-societaria/" TargetMode="External" Id="rId74" /><Relationship Type="http://schemas.openxmlformats.org/officeDocument/2006/relationships/hyperlink" Target="https://files.grupoargos.com/uploads-grupo-argos/2025/03/grupo-argos-reporte-integrado-celsia-2024.pdf" TargetMode="External" Id="rId75" /><Relationship Type="http://schemas.openxmlformats.org/officeDocument/2006/relationships/hyperlink" Target="https://reporteintegrado2022.celsia.com/en/businesses-that-challenge-us/generation/" TargetMode="External" Id="rId76" /><Relationship Type="http://schemas.openxmlformats.org/officeDocument/2006/relationships/hyperlink" Target="https://reporteintegrado2023.celsia.com/en/our-businesses/sales/" TargetMode="External" Id="rId77" /><Relationship Type="http://schemas.openxmlformats.org/officeDocument/2006/relationships/hyperlink" Target="https://www.celsia.com/en/noticias/nuevos-proyectos-eolicos-de-celsia-aportaran-el-18-de-la-electricidad-adjudicada-en-la-subasta-de-energias-renovables/" TargetMode="External" Id="rId78" /><Relationship Type="http://schemas.openxmlformats.org/officeDocument/2006/relationships/hyperlink" Target="https://www.celsia.com/es/soluciones-en-eficiencia-energetica-para-empresas-y-constructoras/energia-solar-para-empresas/" TargetMode="External" Id="rId79" /><Relationship Type="http://schemas.openxmlformats.org/officeDocument/2006/relationships/hyperlink" Target="https://www.xm.com.co/transacciones/asignacion-subasta/descripcion-subastas-0" TargetMode="External" Id="rId80" /><Relationship Type="http://schemas.openxmlformats.org/officeDocument/2006/relationships/hyperlink" Target="https://es.wikipedia.org/wiki/Celsia" TargetMode="External" Id="rId81" /><Relationship Type="http://schemas.openxmlformats.org/officeDocument/2006/relationships/hyperlink" Target="https://www.larepublica.co/especiales/lr-express-congreso-andi/este-ano-celsia-alcanzara-los-350-mw-de-capacidad-de-generacion-solar-3946057" TargetMode="External" Id="rId82" /><Relationship Type="http://schemas.openxmlformats.org/officeDocument/2006/relationships/hyperlink" Target="https://www.latincounsel.com/?Noticias=Skadden_and_BLP_represent_Celsiain_the_sale_of_renewable_assets_in_Panama_and_Costa_Rica" TargetMode="External" Id="rId83" /><Relationship Type="http://schemas.openxmlformats.org/officeDocument/2006/relationships/hyperlink" Target="https://www.elcolombiano.com/negocios/celsia-vende-zona-franca-en-barranquilla-AF11632543" TargetMode="External" Id="rId84" /><Relationship Type="http://schemas.openxmlformats.org/officeDocument/2006/relationships/hyperlink" Target="https://ri.energisa.com.br/en/" TargetMode="External" Id="rId85" /><Relationship Type="http://schemas.openxmlformats.org/officeDocument/2006/relationships/hyperlink" Target="https://ri.energisa.com.br/en/setor-eletrico-brasileiro/" TargetMode="External" Id="rId86" /><Relationship Type="http://schemas.openxmlformats.org/officeDocument/2006/relationships/hyperlink" Target="https://www.energisa.com.br/regioes/mato-grosso" TargetMode="External" Id="rId87" /><Relationship Type="http://schemas.openxmlformats.org/officeDocument/2006/relationships/hyperlink" Target="https://www.econodata.com.br/consulta-empresa/03467321005824-energisa-mato-grosso-distribuidora-de-energia-sa" TargetMode="External" Id="rId88" /><Relationship Type="http://schemas.openxmlformats.org/officeDocument/2006/relationships/hyperlink" Target="https://pt.wikipedia.org/wiki/Energisa_Mato_Grosso" TargetMode="External" Id="rId89" /><Relationship Type="http://schemas.openxmlformats.org/officeDocument/2006/relationships/hyperlink" Target="https://pt.wikipedia.org/wiki/Centrais_El%C3%A9tricas_Matogrossenses" TargetMode="External" Id="rId90" /><Relationship Type="http://schemas.openxmlformats.org/officeDocument/2006/relationships/hyperlink" Target="https://www.rad.cvm.gov.br/ENET/frmGerenciaPaginaFRE.aspx" TargetMode="External" Id="rId91" /><Relationship Type="http://schemas.openxmlformats.org/officeDocument/2006/relationships/hyperlink" Target="https://www.investing.com/equities/energisa-mato-grosso" TargetMode="External" Id="rId92" /><Relationship Type="http://schemas.openxmlformats.org/officeDocument/2006/relationships/hyperlink" Target="https://ri.equatorialenergia.com.br/ (official group IR - attempted, HTTP 403 org egress policy, NOT read this session)" TargetMode="External" Id="rId93" /><Relationship Type="http://schemas.openxmlformats.org/officeDocument/2006/relationships/hyperlink" Target="https://ma.equatorialenergia.com.br/ (official operating utility site - not reachable this session)" TargetMode="External" Id="rId94" /><Relationship Type="http://schemas.openxmlformats.org/officeDocument/2006/relationships/hyperlink" Target="https://www.aneel.gov.br/ (ANEEL - authoritative source for regulated auction / CCEAR results; not reachable this session)" TargetMode="External" Id="rId95" /><Relationship Type="http://schemas.openxmlformats.org/officeDocument/2006/relationships/hyperlink" Target="https://www.ccee.org.br/ (CCEE - authoritative for contracted energy volumes; not reachable this session)" TargetMode="External" Id="rId96" /><Relationship Type="http://schemas.openxmlformats.org/officeDocument/2006/relationships/hyperlink" Target="https://www.b3.com.br/ (B3 listing - attempted, HTTP 403 this session)" TargetMode="External" Id="rId97" /><Relationship Type="http://schemas.openxmlformats.org/officeDocument/2006/relationships/hyperlink" Target="https://pt.wikipedia.org/wiki/Equatorial_Energia_Maranh%C3%A3o (third-party - attempted, HTTP 403 this session)" TargetMode="External" Id="rId98" /><Relationship Type="http://schemas.openxmlformats.org/officeDocument/2006/relationships/hyperlink" Target="https://www.econodata.com.br/consulta-empresa/06272793000184-equatorial-maranhao-distribuidora-de-energia-sa (third-party registry - attempted, HTTP 403 this session)" TargetMode="External" Id="rId99" /><Relationship Type="http://schemas.openxmlformats.org/officeDocument/2006/relationships/hyperlink" Target="https://cnpja.com/office/06272793000184 (third-party registry, from prior draft)" TargetMode="External" Id="rId100" /><Relationship Type="http://schemas.openxmlformats.org/officeDocument/2006/relationships/hyperlink" Target="https://www.ctgbr.com.br/en/operations/hydropower/" TargetMode="External" Id="rId101" /><Relationship Type="http://schemas.openxmlformats.org/officeDocument/2006/relationships/hyperlink" Target="https://ri.ctgbr.com.br/en/rio-paranapanema-energia/" TargetMode="External" Id="rId102" /><Relationship Type="http://schemas.openxmlformats.org/officeDocument/2006/relationships/hyperlink" Target="https://ri.ctgbr.com.br/en/publications-and-documents/reference-form-rio-paranapanema-energia/" TargetMode="External" Id="rId103" /><Relationship Type="http://schemas.openxmlformats.org/officeDocument/2006/relationships/hyperlink" Target="https://ri.ctgbr.com.br/en/financial-information/results-center-rio-paranapanema-energia/" TargetMode="External" Id="rId104" /><Relationship Type="http://schemas.openxmlformats.org/officeDocument/2006/relationships/hyperlink" Target="https://api.mziq.com/mzfilemanager/v2/d/5b6d81c0-07fe-4bdb-8bb9-14699e84f3c9/b38c84bf-39f0-233f-4638-85f9988dbe9a?origin=1" TargetMode="External" Id="rId105" /><Relationship Type="http://schemas.openxmlformats.org/officeDocument/2006/relationships/hyperlink" Target="https://www.ctgbr.com.br/en/unidade/palmeiras-shpp/" TargetMode="External" Id="rId106" /><Relationship Type="http://schemas.openxmlformats.org/officeDocument/2006/relationships/hyperlink" Target="https://www.ctgbr.com.br/en/unidade/taquarucu-hpp/" TargetMode="External" Id="rId107" /><Relationship Type="http://schemas.openxmlformats.org/officeDocument/2006/relationships/hyperlink" Target="https://www.ctgbr.com.br/en/unidade/chavantes-hpp/" TargetMode="External" Id="rId108" /><Relationship Type="http://schemas.openxmlformats.org/officeDocument/2006/relationships/hyperlink" Target="https://www.ctgbr.com.br/en/unidade/salto-grande-hpp/" TargetMode="External" Id="rId109" /><Relationship Type="http://schemas.openxmlformats.org/officeDocument/2006/relationships/hyperlink" Target="https://www.econodata.com.br/consulta-empresa/02998301000181-rio-paranapanema-energia-sa" TargetMode="External" Id="rId110" /><Relationship Type="http://schemas.openxmlformats.org/officeDocument/2006/relationships/hyperlink" Target="https://pt.wikipedia.org/wiki/Usina_Hidrel%C3%A9trica_de_Taquaru%C3%A7u" TargetMode="External" Id="rId111" /><Relationship Type="http://schemas.openxmlformats.org/officeDocument/2006/relationships/hyperlink" Target="https://en.wikipedia.org/wiki/Capivara_Dam" TargetMode="External" Id="rId112" /><Relationship Type="http://schemas.openxmlformats.org/officeDocument/2006/relationships/hyperlink" Target="https://sistemaswebb3-listados.b3.com.br/listedCompaniesPage/main/18368/GEPA/overview?language=pt-br" TargetMode="External" Id="rId113" /><Relationship Type="http://schemas.openxmlformats.org/officeDocument/2006/relationships/hyperlink" Target="https://ri.ceb.com.br/conheca-a-ceb/portfolio-de-negocios/ (CEB IR &#8211; Portf&#243;lio de Neg&#243;cios; official &#8212; BLOCKED HTTP 403 at egress proxy this pass, not re-fetched)" TargetMode="External" Id="rId114" /><Relationship Type="http://schemas.openxmlformats.org/officeDocument/2006/relationships/hyperlink" Target="https://www.correiobraziliense.com.br/static/pdf-publicidade-legal/CEB_Balan%C3%A7o_Anual_2025_Abr26_Corre%C3%A7%C3%A3o_D41D8CD98.pdf (CEB Balan&#231;o Anual 2025 &#8211; official financial statement &#8212; not re-fetched, 403)" TargetMode="External" Id="rId115" /><Relationship Type="http://schemas.openxmlformats.org/officeDocument/2006/relationships/hyperlink" Target="https://noticias.stf.jus.br/postsnoticias/stf-integra-consorcio-para-a-geracao-compartilhada-de-energia/ (STF official &#8211; 3 MW solar consortium, Feb 2025 &#8212; not re-fetched, 403)" TargetMode="External" Id="rId116" /><Relationship Type="http://schemas.openxmlformats.org/officeDocument/2006/relationships/hyperlink" Target="https://www.investco.com.br/en/power-plant (Investco/EDP Lajeado official &#8211; 902.5 MW UHE Lu&#237;s Eduardo Magalh&#227;es &#8212; not re-fetched, 403)" TargetMode="External" Id="rId117" /><Relationship Type="http://schemas.openxmlformats.org/officeDocument/2006/relationships/hyperlink" Target="https://www.neoenergia.com/en/energia-hidrica/corumba (Neoenergia official &#8211; Corumb&#225; III capacity/stake &#8212; not re-fetched, 403)" TargetMode="External" Id="rId118" /><Relationship Type="http://schemas.openxmlformats.org/officeDocument/2006/relationships/hyperlink" Target="https://pt.wikipedia.org/wiki/Companhia_Energ%C3%A9tica_de_Bras%C3%ADlia (Portuguese Wikipedia &#8211; third party &#8212; not re-fetched, 403)" TargetMode="External" Id="rId119" /><Relationship Type="http://schemas.openxmlformats.org/officeDocument/2006/relationships/hyperlink" Target="https://www.econodata.com.br/consulta-empresa/00070698000111-COMPANHIA-ENERGETICA-DE-BRASILIA (registry &#8211; CNPJ, Bras&#237;lia/DF address &#8212; not re-fetched, 403)" TargetMode="External" Id="rId120" /><Relationship Type="http://schemas.openxmlformats.org/officeDocument/2006/relationships/hyperlink" Target="https://www.electricapuntilla.cl/centrales/" TargetMode="External" Id="rId121" /><Relationship Type="http://schemas.openxmlformats.org/officeDocument/2006/relationships/hyperlink" Target="https://www.electricapuntilla.cl/historia/" TargetMode="External" Id="rId122" /><Relationship Type="http://schemas.openxmlformats.org/officeDocument/2006/relationships/hyperlink" Target="https://www.electricapuntilla.cl/electrica-puntilla-firma-contrato-para-operar-las-centrales-de-scm/" TargetMode="External" Id="rId123" /><Relationship Type="http://schemas.openxmlformats.org/officeDocument/2006/relationships/hyperlink" Target="https://www.cmfchile.cl/institucional/mercados/entidad.php?mercado=V&amp;rut=96817230&amp;tipoentidad=RVEMI&amp;vig=VI&amp;control=svs&amp;pestania=1" TargetMode="External" Id="rId124" /><Relationship Type="http://schemas.openxmlformats.org/officeDocument/2006/relationships/hyperlink" Target="https://www.electricapuntilla.cl/wp-content/uploads/2021/09/estados_financieros_PDF96817230_201909.pdf" TargetMode="External" Id="rId125" /><Relationship Type="http://schemas.openxmlformats.org/officeDocument/2006/relationships/hyperlink" Target="https://es.wikipedia.org/wiki/Central_hidroel%C3%A9ctrica_Puntilla" TargetMode="External" Id="rId126" /><Relationship Type="http://schemas.openxmlformats.org/officeDocument/2006/relationships/hyperlink" Target="https://www.diarioestrategia.cl/texto-diario/mostrar/2069746/electrica-puntilla-consigna-nueva-fecha-puesta-marcga-central-nuble-pasada" TargetMode="External" Id="rId127" /><Relationship Type="http://schemas.openxmlformats.org/officeDocument/2006/relationships/hyperlink" Target="https://www.df.cl/empresas/energia/electrica-puntilla-ve-inversiones-por-mas-de-us-1-000-millones-en" TargetMode="External" Id="rId128" /><Relationship Type="http://schemas.openxmlformats.org/officeDocument/2006/relationships/hyperlink" Target="https://www.emis.com/php/company-profile/CL/Electrica_Puntilla_SA_es_3336147.html" TargetMode="External" Id="rId129" /><Relationship Type="http://schemas.openxmlformats.org/officeDocument/2006/relationships/hyperlink" Target="https://www.mercantil.com/empresa/electrica-puntilla-s-a/providencia/300315608/esp/" TargetMode="External" Id="rId130" /><Relationship Type="http://schemas.openxmlformats.org/officeDocument/2006/relationships/hyperlink" Target="https://jis.gov.jm/government/agencies/wigton-wind-farm-limited/" TargetMode="External" Id="rId131" /><Relationship Type="http://schemas.openxmlformats.org/officeDocument/2006/relationships/hyperlink" Target="https://wigtonenergy.com/" TargetMode="External" Id="rId132" /><Relationship Type="http://schemas.openxmlformats.org/officeDocument/2006/relationships/hyperlink" Target="https://wigtonenergy.com/operations/" TargetMode="External" Id="rId133" /><Relationship Type="http://schemas.openxmlformats.org/officeDocument/2006/relationships/hyperlink" Target="https://wigtonenergy.com/about/" TargetMode="External" Id="rId134" /><Relationship Type="http://schemas.openxmlformats.org/officeDocument/2006/relationships/hyperlink" Target="https://wigtonenergy.com/investor-relations/" TargetMode="External" Id="rId135" /><Relationship Type="http://schemas.openxmlformats.org/officeDocument/2006/relationships/hyperlink" Target="https://wigtonenergy.com/news/wigton-energy-to-build-out-70mw-of-solar-over-the-next-two-years/" TargetMode="External" Id="rId136" /><Relationship Type="http://schemas.openxmlformats.org/officeDocument/2006/relationships/hyperlink" Target="https://wigtonenergy.com/wp-content/uploads/2025/09/Press-Release-Wigton-Phase-I-Repowering-November-25-2024.pdf" TargetMode="External" Id="rId137" /><Relationship Type="http://schemas.openxmlformats.org/officeDocument/2006/relationships/hyperlink" Target="https://www.jamstockex.com/wigton-energy-limited-wig-disclosure-2/" TargetMode="External" Id="rId138" /><Relationship Type="http://schemas.openxmlformats.org/officeDocument/2006/relationships/hyperlink" Target="https://ncbcapitalmarkets.com/research/latestnews/5585-wigton-extends-power-purchase-agreement-with-jps-by-3-years" TargetMode="External" Id="rId139" /><Relationship Type="http://schemas.openxmlformats.org/officeDocument/2006/relationships/hyperlink" Target="https://www.power-technology.com/data-insights/power-plant-profile-wigton-jamaica/" TargetMode="External" Id="rId140" /><Relationship Type="http://schemas.openxmlformats.org/officeDocument/2006/relationships/hyperlink" Target="https://jamaica-gleaner.com/article/business/20251010/wigton-be-twice-big-after-multibillion-solar-buildout" TargetMode="External" Id="rId141" /><Relationship Type="http://schemas.openxmlformats.org/officeDocument/2006/relationships/hyperlink" Target="https://www.jamaicaobserver.com/2026/02/22/wigton-stockpiles-cash-solar-expansion/" TargetMode="External" Id="rId142" /><Relationship Type="http://schemas.openxmlformats.org/officeDocument/2006/relationships/hyperlink" Target="https://www.jamaicaobserver.com/2020/07/25/wigton-plans-expansion-into-wider-caribbean/" TargetMode="External" Id="rId143" /><Relationship Type="http://schemas.openxmlformats.org/officeDocument/2006/relationships/hyperlink" Target="https://dbankjm.com/wigton-wind-farm/" TargetMode="External" Id="rId144" /><Relationship Type="http://schemas.openxmlformats.org/officeDocument/2006/relationships/hyperlink" Target="https://www.enlasa.com/generacion-flexible/" TargetMode="External" Id="rId145" /><Relationship Type="http://schemas.openxmlformats.org/officeDocument/2006/relationships/hyperlink" Target="https://www.enlasa.com/inversionistas/" TargetMode="External" Id="rId146" /><Relationship Type="http://schemas.openxmlformats.org/officeDocument/2006/relationships/hyperlink" Target="https://humphreys.cl/wp-content/uploads/2018/08/Informe-Enlasa-Generacion-Chile-Nov-2025-Anual.pdf" TargetMode="External" Id="rId147" /><Relationship Type="http://schemas.openxmlformats.org/officeDocument/2006/relationships/hyperlink" Target="https://www.humphreys.cl/wp-content/uploads/2018/08/Informe-Enlasa-Generacion-Noviembre-2024-Nueva-Emision-LB-12-11-2024.pdf" TargetMode="External" Id="rId148" /><Relationship Type="http://schemas.openxmlformats.org/officeDocument/2006/relationships/hyperlink" Target="https://www.cmfchile.cl/documentos/pueag/crcri/recri_2017110192962.pdf" TargetMode="External" Id="rId149" /><Relationship Type="http://schemas.openxmlformats.org/officeDocument/2006/relationships/hyperlink" Target="https://www.guiachileenergia.cl/enlasa-generacion-chile-s-a/" TargetMode="External" Id="rId150" /><Relationship Type="http://schemas.openxmlformats.org/officeDocument/2006/relationships/hyperlink" Target="https://www.bnamericas.com/en/company-profile/energia-latina-sa" TargetMode="External" Id="rId151" /><Relationship Type="http://schemas.openxmlformats.org/officeDocument/2006/relationships/hyperlink" Target="https://stockanalysis.com/quote/snse/ENLASA/company/" TargetMode="External" Id="rId152" /><Relationship Type="http://schemas.openxmlformats.org/officeDocument/2006/relationships/hyperlink" Target="https://www.df.cl/empresas/energia/gasco-y-enlasa-dan-el-vamos-a-primera-central-electrica-en-base-a-glp-de" TargetMode="External" Id="rId153" /><Relationship Type="http://schemas.openxmlformats.org/officeDocument/2006/relationships/hyperlink" Target="https://www.pv-magazine-latam.com/2025/05/06/solarity-adquiere-en-chile-32-plantas-solares-de-autoconsumo-que-suman-11-mwp/" TargetMode="External" Id="rId154" /><Relationship Type="http://schemas.openxmlformats.org/officeDocument/2006/relationships/hyperlink" Target="https://ri.aesbrasil.com.br/en/meet-aes-brasil/aes-brasil/ (former official IR page - domain no longer resolves)" TargetMode="External" Id="rId155" /><Relationship Type="http://schemas.openxmlformats.org/officeDocument/2006/relationships/hyperlink" Target="https://ri.aurenenergia.com.br (successor group IR - recommended for a citable refresh)" TargetMode="External" Id="rId156" /><Relationship Type="http://schemas.openxmlformats.org/officeDocument/2006/relationships/hyperlink" Target="https://api.mziq.com/mzfilemanager/v2/d/691c9da5-45e0-458f-a3da-41982b1730fc/e1c93456-f992-40b5-ac87-d0615d99691c?origin=1 (AES Brasil Energia CVM filing, CNPJ 37.663.076/0001-07)" TargetMode="External" Id="rId157" /><Relationship Type="http://schemas.openxmlformats.org/officeDocument/2006/relationships/hyperlink" Target="https://www.aesbrasil.com.br/en/our-history" TargetMode="External" Id="rId158" /><Relationship Type="http://schemas.openxmlformats.org/officeDocument/2006/relationships/hyperlink" Target="https://mercadoeconsumo.com.br/22/12/2021/economia/aes-brasil-e-unipar-fecham-acordo-para-autoproducao-de-91-mw-em-geracao-eolica/" TargetMode="External" Id="rId159" /><Relationship Type="http://schemas.openxmlformats.org/officeDocument/2006/relationships/hyperlink" Target="https://financenews.com.br/2022/08/unipar-carbocloro-conclui-constituicao-de-joint-venture-com-a-aes-brasil-energia/" TargetMode="External" Id="rId160" /><Relationship Type="http://schemas.openxmlformats.org/officeDocument/2006/relationships/hyperlink" Target="https://canalsolar.com.br/en/merger-between-auren-and-aes-brazil-forms-3rd-largest-energy-generator-in-the-country/" TargetMode="External" Id="rId161" /><Relationship Type="http://schemas.openxmlformats.org/officeDocument/2006/relationships/hyperlink" Target="https://www.furnas.com.br/subsecao/124/usina-de-manso---210-mw?culture=pt" TargetMode="External" Id="rId162" /><Relationship Type="http://schemas.openxmlformats.org/officeDocument/2006/relationships/hyperlink" Target="https://promanmt.com.br/a-empresa/producao/" TargetMode="External" Id="rId163" /><Relationship Type="http://schemas.openxmlformats.org/officeDocument/2006/relationships/hyperlink" Target="https://promanmt.com.br/a-empresa/breve-historico/" TargetMode="External" Id="rId164" /><Relationship Type="http://schemas.openxmlformats.org/officeDocument/2006/relationships/hyperlink" Target="https://promanmt.com.br/wp_mnunes/wp-content/uploads/2026/05/FRE-Proman-2026.pdf" TargetMode="External" Id="rId165" /><Relationship Type="http://schemas.openxmlformats.org/officeDocument/2006/relationships/hyperlink" Target="https://publicidadelegal.monitormercantil.com.br/wp-content/uploads/2023/03/PRODUTORES-ENERGETICOS-DE-MANSO-S.A.-%E2%80%93-PROMAN-Balanco-2022.pdf" TargetMode="External" Id="rId166" /><Relationship Type="http://schemas.openxmlformats.org/officeDocument/2006/relationships/hyperlink" Target="https://publicidadelegal.monitormercantil.com.br/wp-content/uploads/2024/03/PRODUTORES-ENERGETICOS-DE-MANSO-S.A.-%E2%80%93-PROMAN-Balanco-2023.pdf" TargetMode="External" Id="rId167" /><Relationship Type="http://schemas.openxmlformats.org/officeDocument/2006/relationships/hyperlink" Target="https://www.ivalor.com.br/empresas/acoes/PRMN3B" TargetMode="External" Id="rId168" /><Relationship Type="http://schemas.openxmlformats.org/officeDocument/2006/relationships/hyperlink" Target="https://pt.wikipedia.org/wiki/Usina_Hidrel%C3%A9trica_de_Manso" TargetMode="External" Id="rId169" /><Relationship Type="http://schemas.openxmlformats.org/officeDocument/2006/relationships/hyperlink" Target="https://www.grupoenergiabogota.com/en/geb-group" TargetMode="External" Id="rId170" /><Relationship Type="http://schemas.openxmlformats.org/officeDocument/2006/relationships/hyperlink" Target="https://www.grupoenergiabogota.com/en" TargetMode="External" Id="rId171" /><Relationship Type="http://schemas.openxmlformats.org/officeDocument/2006/relationships/hyperlink" Target="https://www.grupoenergiabogota.com/en/investors/financial-information/investors-reports" TargetMode="External" Id="rId172" /><Relationship Type="http://schemas.openxmlformats.org/officeDocument/2006/relationships/hyperlink" Target="https://www.enel.com.co/en/investors/enel-colombia/enel-organizational-structure.html" TargetMode="External" Id="rId173" /><Relationship Type="http://schemas.openxmlformats.org/officeDocument/2006/relationships/hyperlink" Target="https://www.enel.com.co/en/press/news/d202502-financial-results-2024.html" TargetMode="External" Id="rId174" /><Relationship Type="http://schemas.openxmlformats.org/officeDocument/2006/relationships/hyperlink" Target="https://www.enel.com.co/content/dam/enel-co/ingl%C3%A9s/shareholders_and_investors/enel-colombia/company-presentations/2024/Corporate%20Presentation%20Enel%20Colombia%20Sep%202024.pdf" TargetMode="External" Id="rId175" /><Relationship Type="http://schemas.openxmlformats.org/officeDocument/2006/relationships/hyperlink" Target="https://www.enelamericas.com/en/media/press/d202107-transformational-partnership-between-enel-and-grupo-de-energa-de-bogot-continues-to-make-progress.html" TargetMode="External" Id="rId176" /><Relationship Type="http://schemas.openxmlformats.org/officeDocument/2006/relationships/hyperlink" Target="https://bogota.gov.co/servicios/entidad/grupo-energia-bogota-sa-esp" TargetMode="External" Id="rId177" /><Relationship Type="http://schemas.openxmlformats.org/officeDocument/2006/relationships/hyperlink" Target="https://stockanalysis.com/quote/bvc/GEB/" TargetMode="External" Id="rId178" /></Relationships>
</file>

<file path=xl/worksheets/_rels/sheet7.xml.rels><Relationships xmlns="http://schemas.openxmlformats.org/package/2006/relationships"><Relationship Type="http://schemas.openxmlformats.org/officeDocument/2006/relationships/hyperlink" Target="https://ri.eneva.com.br/en/financial-information/presentations-and-conference-calls/" TargetMode="External" Id="rId1" /><Relationship Type="http://schemas.openxmlformats.org/officeDocument/2006/relationships/hyperlink" Target="https://ri.eneva.com.br/en/financial-information/presentations-and-conference-calls/" TargetMode="External" Id="rId2" /><Relationship Type="http://schemas.openxmlformats.org/officeDocument/2006/relationships/hyperlink" Target="https://ri.eneva.com.br/en/financial-information/presentations-and-conference-calls/" TargetMode="External" Id="rId3" /><Relationship Type="http://schemas.openxmlformats.org/officeDocument/2006/relationships/hyperlink" Target="https://www.minenergia.gov.co/es/sala-de-prensa/noticias-index/gobierno-ordena-devolver-mas-de-150-mil-millones-a-usuarios-de-gas-natural-por-cobros-adicionales-en-transporte/" TargetMode="External" Id="rId4" /><Relationship Type="http://schemas.openxmlformats.org/officeDocument/2006/relationships/hyperlink" Target="https://www.canalenergia.com.br/noticias/4931313/aneel-mantem-taxa-de-retorno-de-uruguaiana-em-716" TargetMode="External" Id="rId5" /><Relationship Type="http://schemas.openxmlformats.org/officeDocument/2006/relationships/hyperlink" Target="https://www.insidermonkey.com/blog/enel-chile-s-a-nyseenic-q1-2026-earnings-call-transcript-1753951/" TargetMode="External" Id="rId6" /><Relationship Type="http://schemas.openxmlformats.org/officeDocument/2006/relationships/hyperlink" Target="https://www.enel.com/content/dam/enel-com/documenti/investitori/informazioni-finanziarie/2024/2025-2027-strategic-plan.pdf" TargetMode="External" Id="rId7" /><Relationship Type="http://schemas.openxmlformats.org/officeDocument/2006/relationships/hyperlink" Target="https://www.engie.com/sites/default/files/assets/documents/2025-08/ENGIE%20H1%202025%20-%20Transcript.pdf" TargetMode="External" Id="rId8" /><Relationship Type="http://schemas.openxmlformats.org/officeDocument/2006/relationships/hyperlink" Target="https://www.celsia.com/es/inversionistas/celsia/por-que-invertir-en-celsia/" TargetMode="External" Id="rId9" /><Relationship Type="http://schemas.openxmlformats.org/officeDocument/2006/relationships/hyperlink" Target="https://www.celsia.com/es/noticias/en-la-asamblea-celsia-profundizo-sobre-su-valor-fundamental-y-resalto-que-el-retorno-total-al-accionista-tsr-en-el-2024-fue-del-362/" TargetMode="External" Id="rId10" /><Relationship Type="http://schemas.openxmlformats.org/officeDocument/2006/relationships/hyperlink" Target="https://www.insidermonkey.com/blog/the-aes-corporation-nyseaes-q3-2025-earnings-call-transcript-1641160/" TargetMode="External" Id="rId11" /><Relationship Type="http://schemas.openxmlformats.org/officeDocument/2006/relationships/hyperlink" Target="https://www.celsia.com/es/noticias/resultados-de-celsia-en-2022/" TargetMode="External" Id="rId12" /><Relationship Type="http://schemas.openxmlformats.org/officeDocument/2006/relationships/hyperlink" Target="https://www.gov.br/aneel/pt-br/assuntos/noticias/2026/aneel-atualiza-taxa-regulatoria-de-remuneracao-do-capital-wacc-regulatorio" TargetMode="External" Id="rId13" /><Relationship Type="http://schemas.openxmlformats.org/officeDocument/2006/relationships/hyperlink" Target="https://www.sec.gov/Archives/edgar/data/1439124/000129281421001692/ebr20210422_6k.htm" TargetMode="External" Id="rId14" /><Relationship Type="http://schemas.openxmlformats.org/officeDocument/2006/relationships/hyperlink" Target="https://guiadoinvestidor.com.br/mercado/engie-egie3-leva-leilao-da-aneel-mas-retorno-decepciona-e-acende-alerta-no-mercado/" TargetMode="External" Id="rId15" /><Relationship Type="http://schemas.openxmlformats.org/officeDocument/2006/relationships/hyperlink" Target="https://libro.daviviendacorredores.com/2023/zoom-a-empresas/geb/" TargetMode="External" Id="rId16" /><Relationship Type="http://schemas.openxmlformats.org/officeDocument/2006/relationships/hyperlink" Target="https://www.gurufocus.com/term/wacc/NYSE:ENIC/WACC-/Enel-Chile" TargetMode="External" Id="rId17" /></Relationships>
</file>

<file path=xl/worksheets/_rels/sheet8.xml.rels><Relationships xmlns="http://schemas.openxmlformats.org/package/2006/relationships"><Relationship Type="http://schemas.openxmlformats.org/officeDocument/2006/relationships/hyperlink" Target="https://ri.eneva.com.br/en/financial-information/presentations-and-conference-calls/" TargetMode="External" Id="rId1" /></Relationships>
</file>

<file path=xl/worksheets/_rels/sheet10.xml.rels><Relationships xmlns="http://schemas.openxmlformats.org/package/2006/relationships"><Relationship Type="http://schemas.openxmlformats.org/officeDocument/2006/relationships/hyperlink" Target="https://cbonds.com/bonds/1868901/" TargetMode="External" Id="rId1" /><Relationship Type="http://schemas.openxmlformats.org/officeDocument/2006/relationships/hyperlink" Target="https://energyforgrowth.org/article/a-review-of-trinidad-and-tobagos-electricity-sector-and-ppa-process/" TargetMode="External" Id="rId2" /><Relationship Type="http://schemas.openxmlformats.org/officeDocument/2006/relationships/hyperlink" Target="https://pages.stern.nyu.edu/~adamodar/New_Home_Page/datafile/ctryprem.html" TargetMode="External" Id="rId3" /><Relationship Type="http://schemas.openxmlformats.org/officeDocument/2006/relationships/hyperlink" Target="https://www.finance.gov.tt/2025/12/12/media-release-moodys-maintains-the-ba2-government-of-trinidad-and-tobago-credit-rating-notwithstanding-short-term-headwinds/" TargetMode="External" Id="rId4" /><Relationship Type="http://schemas.openxmlformats.org/officeDocument/2006/relationships/hyperlink" Target="https://energyforgrowth.org/article/a-review-of-trinidad-and-tobagos-electricity-sector-and-ppa-process/" TargetMode="External" Id="rId5" /><Relationship Type="http://schemas.openxmlformats.org/officeDocument/2006/relationships/hyperlink" Target="https://newsday.co.tt/2024/07/20/saying-good-bye-to-powergen/" TargetMode="External" Id="rId6" /><Relationship Type="http://schemas.openxmlformats.org/officeDocument/2006/relationships/hyperlink" Target="https://www.pjm.com/-/media/DotCom/committees-groups/committees/mic/2025/20250411-special/item-1-02-revised-cone-report-final.pdf" TargetMode="External" Id="rId7" /><Relationship Type="http://schemas.openxmlformats.org/officeDocument/2006/relationships/hyperlink" Target="https://www.pjm.com/-/media/DotCom/library/reports-notices/special-reports/2022/20220422-brattle-final-cone-report.pdf" TargetMode="External" Id="rId8" /><Relationship Type="http://schemas.openxmlformats.org/officeDocument/2006/relationships/hyperlink" Target="https://www.iso-ne.com/static-assets/documents/2020/08/a4_a_iii_cea_presentation_cone_and_ortp_analysis.pdf" TargetMode="External" Id="rId9" /><Relationship Type="http://schemas.openxmlformats.org/officeDocument/2006/relationships/hyperlink" Target="https://www.brattle.com/wp-content/uploads/2024/08/ERCOT-CONE-for-2026.pdf" TargetMode="External" Id="rId10" /><Relationship Type="http://schemas.openxmlformats.org/officeDocument/2006/relationships/hyperlink" Target="https://www.ferc.gov/news-events/news/ferc-revises-public-utility-roe-methodology-sets-policy-natural-gas-oil-pipelines" TargetMode="External" Id="rId11" /><Relationship Type="http://schemas.openxmlformats.org/officeDocument/2006/relationships/hyperlink" Target="https://investors.nrg.com/news-releases/news-release-details/nrg-energy-inc-acquire-premier-power-portfolio-ls-power" TargetMode="External" Id="rId12" /><Relationship Type="http://schemas.openxmlformats.org/officeDocument/2006/relationships/hyperlink" Target="https://www.pjm.com/-/media/DotCom/committees-groups/committees/mic/2025/20250411-special/item-1-02-revised-cone-report-final.pdf" TargetMode="External" Id="rId13" /><Relationship Type="http://schemas.openxmlformats.org/officeDocument/2006/relationships/hyperlink" Target="https://assets.publishing.service.gov.uk/media/5a8155f2e5274a2e87dbd11b/BEIS_Electricity_Generation_Cost_Report.pdf" TargetMode="External" Id="rId14" /><Relationship Type="http://schemas.openxmlformats.org/officeDocument/2006/relationships/hyperlink" Target="https://assets.publishing.service.gov.uk/media/69ba657326909a14239612e3/electricity-generation-costs-report-2025.pdf" TargetMode="External" Id="rId15" /><Relationship Type="http://schemas.openxmlformats.org/officeDocument/2006/relationships/hyperlink" Target="https://www.semcommittee.com/publications/sem-23-016-best-new-entrant-decision-paper" TargetMode="External" Id="rId16" /><Relationship Type="http://schemas.openxmlformats.org/officeDocument/2006/relationships/hyperlink" Target="https://www.ofgem.gov.uk/sites/default/files/2021-09/Regime%20Handbook.pdf" TargetMode="External" Id="rId17" /><Relationship Type="http://schemas.openxmlformats.org/officeDocument/2006/relationships/hyperlink" Target="https://www.ofgem.gov.uk/sites/default/files/2025-09/annual-report-capacity-market-operations-2024-25.pdf" TargetMode="External" Id="rId18" /><Relationship Type="http://schemas.openxmlformats.org/officeDocument/2006/relationships/hyperlink" Target="https://www.gov.uk/government/publications/hurdle-rate-estimates-for-electricity-sector-technologies" TargetMode="External" Id="rId19" /><Relationship Type="http://schemas.openxmlformats.org/officeDocument/2006/relationships/hyperlink" Target="https://www.osinergmin.gob.pe/cartas/documentos/electricidad/normativa/LEY_CONCESIONES_ELECTRICAS.pdf" TargetMode="External" Id="rId20" /><Relationship Type="http://schemas.openxmlformats.org/officeDocument/2006/relationships/hyperlink" Target="https://www.cne.cl/en/tarificacion/electrica/precio-nudo-corto-plazo/" TargetMode="External" Id="rId21" /><Relationship Type="http://schemas.openxmlformats.org/officeDocument/2006/relationships/hyperlink" Target="https://gestornormativo.creg.gov.co/gestor/entorno/docs/resolucion_creg_0103_2021.htm" TargetMode="External" Id="rId22" /><Relationship Type="http://schemas.openxmlformats.org/officeDocument/2006/relationships/hyperlink" Target="https://www.gov.br/aneel/pt-br/assuntos/noticias/2026/aneel-atualiza-taxa-regulatoria-de-remuneracao-do-capital-wacc-regulatorio" TargetMode="External" Id="rId23" /><Relationship Type="http://schemas.openxmlformats.org/officeDocument/2006/relationships/hyperlink" Target="https://researchxp1.s3.sa-east-1.amazonaws.com/2025.11.30+-+ENEV+IoC.pdf" TargetMode="External" Id="rId24" /><Relationship Type="http://schemas.openxmlformats.org/officeDocument/2006/relationships/hyperlink" Target="https://researchxp1.s3.sa-east-1.amazonaws.com/2025.11.30+-+ENEV+IoC.pdf" TargetMode="External" Id="rId25" /><Relationship Type="http://schemas.openxmlformats.org/officeDocument/2006/relationships/hyperlink" Target="https://ri.eneva.com.br/en/financial-information/presentations-and-conference-calls/" TargetMode="External" Id="rId26" /><Relationship Type="http://schemas.openxmlformats.org/officeDocument/2006/relationships/hyperlink" Target="https://www.pv-magazine-latam.com/2019/03/01/colombia-asigna-139-gw-de-solar-y-eolica-en-la-subasta-de-cargo-por-confiabilidad/" TargetMode="External" Id="rId27" /><Relationship Type="http://schemas.openxmlformats.org/officeDocument/2006/relationships/hyperlink" Target="https://www.internationalpublicpartnerships.com/media/mnoa1kp4/inpp-2024-annual-report-vf.pdf" TargetMode="External" Id="rId28" /><Relationship Type="http://schemas.openxmlformats.org/officeDocument/2006/relationships/hyperlink" Target="https://www.hicl.com/wp-content/uploads/2025/05/HICL_Interactive-Annual-Report-2025.pdf" TargetMode="External" Id="rId29" /><Relationship Type="http://schemas.openxmlformats.org/officeDocument/2006/relationships/hyperlink" Target="https://www.trig-ltd.com/wp-content/uploads/2025/02/TRIG-FY-2024-Annual-Results-Presentation.pdf" TargetMode="External" Id="rId30" /><Relationship Type="http://schemas.openxmlformats.org/officeDocument/2006/relationships/hyperlink" Target="https://www.greencoat-ukwind.com/" TargetMode="External" Id="rId31" /><Relationship Type="http://schemas.openxmlformats.org/officeDocument/2006/relationships/hyperlink" Target="https://www.grantthornton.ie/globalassets/1.-member-firms/ireland/insights/publications/grant-thornton---renewable-energy.pdf" TargetMode="External" Id="rId32" /><Relationship Type="http://schemas.openxmlformats.org/officeDocument/2006/relationships/hyperlink" Target="https://green-giraffe.com/publication/blog-post/the-price-is-right-how-much-is-your-renewable-energy-project-really-worth/" TargetMode="External" Id="rId33" /><Relationship Type="http://schemas.openxmlformats.org/officeDocument/2006/relationships/hyperlink" Target="https://ibinterviewquestions.com/guides/energy-investment-banking/renewable-energy-valuation-methods" TargetMode="External" Id="rId34" /><Relationship Type="http://schemas.openxmlformats.org/officeDocument/2006/relationships/hyperlink" Target="https://www.ifc.org/en/insights-reports/2025/financial-returns-on-equity-investments-in-infrastructure" TargetMode="External" Id="rId35" /><Relationship Type="http://schemas.openxmlformats.org/officeDocument/2006/relationships/hyperlink" Target="https://www.nao.org.uk/wp-content/uploads/2025/03/lessons-learned-private-finance-for-infrastructure.pdf" TargetMode="External" Id="rId36" /></Relationships>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3" customWidth="1" min="1" max="1"/>
    <col width="116" customWidth="1" min="2" max="2"/>
  </cols>
  <sheetData>
    <row r="2" ht="26" customHeight="1">
      <c r="B2" s="1" t="inlineStr">
        <is>
          <t>Listed Latin American Power Companies — Generation Profile &amp; PPA Research</t>
        </is>
      </c>
    </row>
    <row r="3" ht="18" customHeight="1">
      <c r="B3" s="2" t="inlineStr">
        <is>
          <t>Country of domicile · installed generation capacity mix · power purchase agreements — sourced to company disclosures</t>
        </is>
      </c>
    </row>
    <row r="4" ht="16" customHeight="1">
      <c r="B4" s="2" t="inlineStr">
        <is>
          <t>Compiled 30 July 2026 · 18 companies · research + independent source-verification pass per company</t>
        </is>
      </c>
    </row>
    <row r="6" ht="18" customHeight="1">
      <c r="B6" s="3" t="inlineStr">
        <is>
          <t>What's in this workbook</t>
        </is>
      </c>
    </row>
    <row r="7" ht="30" customHeight="1">
      <c r="B7" s="4" t="inlineStr">
        <is>
          <t>• Company Overview — one row per company: country of domicile, total installed generation capacity, 'as-of' date, a confidence rating, and the source behind each figure.</t>
        </is>
      </c>
    </row>
    <row r="8" ht="30" customHeight="1">
      <c r="B8" s="4" t="inlineStr">
        <is>
          <t>• Generation Capacity Mix — one row per technology per company (hydro / wind / solar / gas / coal / oil / biomass / storage), in MW and % of total, each with its own source.</t>
        </is>
      </c>
    </row>
    <row r="9" ht="30" customHeight="1">
      <c r="B9" s="4" t="inlineStr">
        <is>
          <t>• PPAs — one row per disclosed power purchase agreement / long-term energy contract: counterparty, contract type, volume, term, and source.</t>
        </is>
      </c>
    </row>
    <row r="10" ht="30" customHeight="1">
      <c r="B10" s="4" t="inlineStr">
        <is>
          <t>• Notes &amp; Verification — per-company caveats and what the verification pass re-checked or corrected.</t>
        </is>
      </c>
    </row>
    <row r="11" ht="30" customHeight="1">
      <c r="B11" s="4" t="inlineStr">
        <is>
          <t>• Key Sources — the primary source URLs used per company (official corporate/IR/report links first).</t>
        </is>
      </c>
    </row>
    <row r="13" ht="18" customHeight="1">
      <c r="B13" s="3" t="inlineStr">
        <is>
          <t>How it was built &amp; how to read the sourcing</t>
        </is>
      </c>
    </row>
    <row r="14" ht="44" customHeight="1">
      <c r="B14" s="4" t="inlineStr">
        <is>
          <t>Each company was researched by a dedicated agent instructed to prefer the company's OWN official sources (corporate site, investor-relations pages, latest annual / integrated / sustainability report, earnings releases, and regulatory filings with B3/CVM in Brazil, CMF in Chile, SFC/BVC in Colombia, and the JSE in Jamaica). A second agent independently re-checked the key numbers against the cited sources and recorded corrections in 'Notes &amp; Verification'.</t>
        </is>
      </c>
    </row>
    <row r="15" ht="44" customHeight="1">
      <c r="B15" s="4" t="inlineStr">
        <is>
          <t>Every figure carries a 'Source' link and a 'Source detail' note describing exactly where the number appears (e.g. report name, page, table) and whether the source is official or third-party. Where only a third-party figure could be found, it is labelled as such and the confidence is lowered.</t>
        </is>
      </c>
    </row>
    <row r="16" ht="44" customHeight="1">
      <c r="B16" s="4" t="inlineStr">
        <is>
          <t>Confidence (High / Medium / Low) reflects how directly the figure is tied to an official, current disclosure.</t>
        </is>
      </c>
    </row>
    <row r="18" ht="18" customHeight="1">
      <c r="B18" s="3" t="inlineStr">
        <is>
          <t>Important caveats</t>
        </is>
      </c>
    </row>
    <row r="19" ht="46" customHeight="1">
      <c r="B19" s="4" t="inlineStr">
        <is>
          <t>• AXIA3 (Axia Energia) is the rebranded ELETROBRAS (Centrais Elétricas Brasileiras S.A.) — rebrand announced Oct-2025, new tickers Nov-2025. Its ~43.9 GW figure is company-reported.</t>
        </is>
      </c>
    </row>
    <row r="20" ht="46" customHeight="1">
      <c r="B20" s="4" t="inlineStr">
        <is>
          <t>• Several names are DISTRIBUTION or HOLDING companies, not generators — they own little or no directly-held generation. Flagged with 'N/A' capacity and explained in Notes: Energisa Mato Grosso (ENMT4) and Equatorial Maranhão (EQMA3B) are distribution utilities; Grupo Energía Bogotá (GEB) is a transmission/gas holding whose generation sits in associates it does not consolidate; CEB (CEBR5) sold most generation after privatisation.</t>
        </is>
      </c>
    </row>
    <row r="21" ht="46" customHeight="1">
      <c r="B21" s="4" t="inlineStr">
        <is>
          <t>• During research, direct fetches of some official domains (e.g. axia.com.br, api.mziq.com, some SEC pages) were blocked by this environment's network egress policy (HTTP 403) — NOT dead links. In those cases the official figure was captured from search-indexed renderings of the same official disclosure and cross-checked; such cases are noted and confidence set accordingly.</t>
        </is>
      </c>
    </row>
    <row r="22" ht="46" customHeight="1">
      <c r="B22" s="4" t="inlineStr">
        <is>
          <t>• Capacity figures reflect the most recent disclosure found (mostly FY2024–FY2025) and can differ by definition (gross vs net, owned vs operated, in-operation vs including under-construction). The basis is recorded in 'As of' / 'Source detail'. Percentages may not sum to 100% due to rounding or storage (MWh) lines.</t>
        </is>
      </c>
    </row>
    <row r="23" ht="46" customHeight="1">
      <c r="B23" s="4" t="inlineStr">
        <is>
          <t>• This is a research compilation for information purposes, not investment advice. Verify against primary filings before relying on any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4" customWidth="1" min="2" max="2"/>
    <col width="30" customWidth="1" min="3" max="3"/>
    <col width="34" customWidth="1" min="4" max="4"/>
    <col width="40" customWidth="1" min="5" max="5"/>
    <col width="32" customWidth="1" min="6" max="6"/>
    <col width="15" customWidth="1" min="7" max="7"/>
    <col width="8" customWidth="1" min="8" max="8"/>
    <col width="34" customWidth="1" min="9" max="9"/>
    <col width="40" customWidth="1" min="10" max="10"/>
    <col width="7" customWidth="1" min="11" max="11"/>
    <col width="7" customWidth="1" min="12" max="12"/>
    <col width="32" customWidth="1" min="13" max="13"/>
  </cols>
  <sheetData>
    <row r="1" ht="24" customHeight="1">
      <c r="A1" s="5" t="inlineStr">
        <is>
          <t>Company Overview — country of domicile &amp; total installed generation capacity (every figure sourced)</t>
        </is>
      </c>
    </row>
    <row r="2" ht="30" customHeight="1">
      <c r="A2" s="6" t="inlineStr">
        <is>
          <t>Ticker</t>
        </is>
      </c>
      <c r="B2" s="6" t="inlineStr">
        <is>
          <t>Company Name</t>
        </is>
      </c>
      <c r="C2" s="6" t="inlineStr">
        <is>
          <t>Country of Domicile</t>
        </is>
      </c>
      <c r="D2" s="6" t="inlineStr">
        <is>
          <t>Domicile — Source</t>
        </is>
      </c>
      <c r="E2" s="6" t="inlineStr">
        <is>
          <t>Domicile — Source detail</t>
        </is>
      </c>
      <c r="F2" s="6" t="inlineStr">
        <is>
          <t>Total Installed Capacity</t>
        </is>
      </c>
      <c r="G2" s="6" t="inlineStr">
        <is>
          <t>As of</t>
        </is>
      </c>
      <c r="H2" s="6" t="inlineStr">
        <is>
          <t>Conf.</t>
        </is>
      </c>
      <c r="I2" s="6" t="inlineStr">
        <is>
          <t>Capacity — Source</t>
        </is>
      </c>
      <c r="J2" s="6" t="inlineStr">
        <is>
          <t>Capacity — Source detail</t>
        </is>
      </c>
      <c r="K2" s="6" t="inlineStr">
        <is>
          <t># Tech</t>
        </is>
      </c>
      <c r="L2" s="6" t="inlineStr">
        <is>
          <t># PPAs</t>
        </is>
      </c>
      <c r="M2" s="6" t="inlineStr">
        <is>
          <t>Official Website</t>
        </is>
      </c>
    </row>
    <row r="3" ht="92" customHeight="1">
      <c r="A3" s="7" t="inlineStr">
        <is>
          <t>AXIA3 BZ</t>
        </is>
      </c>
      <c r="B3" s="8" t="inlineStr">
        <is>
          <t>Centrais Elétricas Brasileiras S.A. – AXIA Energia (commercial brand "AXIA Energia"; formerly Eletrobras). Brand transition announced Oct 22, 2025; new tickers effective Nov 10, 2025; formal corporate name change advanced at the April 15, 2026 shareholder meeting.</t>
        </is>
      </c>
      <c r="C3" s="8" t="inlineStr">
        <is>
          <t>Brazil; incorporated in Brazil, headquartered in Rio de Janeiro, RJ (Av. Graça Aranha, 26, Centro, CEP 20030-900). Listed on B3 (Novo Mercado) with ADRs on NYSE.</t>
        </is>
      </c>
      <c r="D3" s="9" t="inlineStr">
        <is>
          <t>https://www.sec.gov/Archives/edgar/data/1439124/000129281425003589/ebr20251022_6k.htm</t>
        </is>
      </c>
      <c r="E3" s="8" t="inlineStr">
        <is>
          <t>Confirmed via the company's official SEC Form 6-K filings (registrant 'Centrais Elétricas Brasileiras S.A. – AXIA Energia', SEC CIK 1439124) and official IR/mziq shareholder-meeting documents titled 'CENTRAIS ELÉTRICAS BRASILEIRAS S.A. – AXIA ENERGIA (companhia aberta)', which state the Rio de Janeiro / Av. Graça Aranha 26 registered address. The LISTED operating company's CNPJ is 00.001.180/0001-26 (the historical Eletrobras registration). NOTE/CORRECTION: the draft's cited source (econodata, CNPJ 59.275.417/0001-00) is NOT the listed company — that CNPJ belongs to a subsidiary (registry aggregators list it under 'Nova Era Eólica Trilhos S.A.'/'Axia Energia S.A.'), so it should not be used to evidence the listed parent's domicile. Country (Brazil) and city (Rio de Janeiro) confidence: high.</t>
        </is>
      </c>
      <c r="F3" s="8" t="inlineStr">
        <is>
          <t>43,872 MW (approx. 43.9 GW), described by the company as 100% clean/low-emission (renewable)</t>
        </is>
      </c>
      <c r="G3" s="10" t="inlineStr">
        <is>
          <t>End of FY2025 (4Q25/FY2025 results released Feb 2026)</t>
        </is>
      </c>
      <c r="H3" s="11" t="inlineStr">
        <is>
          <t>High</t>
        </is>
      </c>
      <c r="I3" s="9" t="inlineStr">
        <is>
          <t>https://brazilstockguide.com/insights/axia-energia-4q25-results/</t>
        </is>
      </c>
      <c r="J3" s="8" t="inlineStr">
        <is>
          <t>Company 4Q25/FY2025 disclosure: 'ended 2025 with 43,872 MW of installed capacity (~17% / 16.9% of national capacity), a slight reduction of ~0.8% vs 2024 due to the sale of natural-gas thermal plants.' Verified via multiple independent renderings of the OFFICIAL results — the company's Sustainability-Report/media page (axia.com.br), its 4Q25 earnings release (api.mziq.com), and the AXIA/EBR SEC Form 6-K filings — as reflected in search-indexed text and corroborated by financial press (Brazil Stock Guide, StockTitan SEC 6-K summaries). Direct WebFetch of axia.com.br, api.mziq.com and sec.gov all returned HTTP 403 under this environment's egress policy (org policy denial, not a dead link); the official figure itself is consistent across every source checked.</t>
        </is>
      </c>
      <c r="K3" s="11" t="n">
        <v>2</v>
      </c>
      <c r="L3" s="11" t="n">
        <v>4</v>
      </c>
      <c r="M3" s="9" t="inlineStr">
        <is>
          <t>https://axia.com.br (investor relations: https://ri.axia.com.br)</t>
        </is>
      </c>
    </row>
    <row r="4" ht="92" customHeight="1">
      <c r="A4" s="12" t="inlineStr">
        <is>
          <t>ENEV3 BZ</t>
        </is>
      </c>
      <c r="B4" s="13" t="inlineStr">
        <is>
          <t>Eneva S.A. (formerly MPX Energia S.A.; renamed October 2013)</t>
        </is>
      </c>
      <c r="C4" s="13" t="inlineStr">
        <is>
          <t>Brazil. Publicly-held company ('Companhia Aberta') incorporated in Brazil in 2001, CNPJ 04.423.567/0001-21, NIRE 33.3.0028402-8. Headquartered in Rio de Janeiro, RJ (Praia de Botafogo 501, Torre Corcovado, Botafogo, CEP 22250-040). Listed on B3 under ticker ENEV3. Formerly MPX Energia S.A., renamed Eneva S.A. in October 2013.</t>
        </is>
      </c>
      <c r="D4" s="14" t="inlineStr">
        <is>
          <t>https://www.econodata.com.br/consulta-empresa/04423567000121-eneva-sa</t>
        </is>
      </c>
      <c r="E4" s="13" t="inlineStr">
        <is>
          <t>Brazilian public company registry (Econodata, drawing on Receita Federal / CNPJ data) confirms CNPJ 04.423.567/0001-21, Rio de Janeiro RJ domicile, and 2001 incorporation. Cross-confirmed by the header of Eneva's own official CVM/B3 filings, whose title line reads verbatim 'ENEVA S.A. CNPJ n 04.423.567/0001-21 NIRE 33.3.0028402-8 Companhia Aberta' (official Eneva filing on the mziq document server, api.mziq.com/mzfilemanager/v2/d/6c663f3b-ae5a-4692-81d3-ab23ee84c1de/... — this host is blocked by the session egress proxy for direct fetch, but its title text is returned in search results). HQ address (Praia de Botafogo 501, Torre Corcovado) and name change from MPX Energia (Oct 2013) and 2001 incorporation also confirmed by Yahoo Finance and GlobalData company profiles (third-party). High confidence.</t>
        </is>
      </c>
      <c r="F4" s="13" t="inlineStr">
        <is>
          <t>~7,200 MW (7.2 GW) total installed capacity (assets in operation plus under construction), comprising ~6,500 MW (6.5 GW) of thermal assets (natural gas + coal) and ~692 MW of solar in operation. The solar is the Futura I complex, whose DC nameplate is quoted as 837 MWp (692 MW is the AC/registered figure). Note: Pecem II coal (~365 MW) was agreed for divestment to Diamante Geracao de Energia in March 2026, which will reduce owned coal capacity once closed.</t>
        </is>
      </c>
      <c r="G4" s="15" t="inlineStr">
        <is>
          <t>2024-2025 (company communications through 2025; 6.5 GW thermal + 692 MW solar framing per official Power Generation page)</t>
        </is>
      </c>
      <c r="H4" s="16" t="inlineStr">
        <is>
          <t>High</t>
        </is>
      </c>
      <c r="I4" s="14" t="inlineStr">
        <is>
          <t>https://www.eneva.com.br/en/our-operations/power-generation/</t>
        </is>
      </c>
      <c r="J4" s="13" t="inlineStr">
        <is>
          <t>Eneva's official 'Power Generation / Our Operations' page states 7.2 GW of installed capacity across Maranhao, Ceara, Sergipe, Amazonas, Espirito Santo and Bahia, and separately frames the fleet as '6.5 GW of thermal assets and 692 MW of solar'. This exact wording was returned verbatim in web-search results of the official page. The page itself (and Eneva's operational-release PDFs on the mziq CDN) could NOT be opened directly because the session's organizational egress proxy denies (HTTP 403 on CONNECT) every external host, including eneva.com.br and the mziq CDN; verification was therefore done via search-result snippets of the official page plus multiple independent third-party corroborations (Enerdata, power-technology.com, Global Energy Monitor). Headline 7.2 GW / 6.5 GW thermal / 692 MW solar is consistently confirmed.</t>
        </is>
      </c>
      <c r="K4" s="16" t="n">
        <v>8</v>
      </c>
      <c r="L4" s="16" t="n">
        <v>5</v>
      </c>
      <c r="M4" s="14" t="inlineStr">
        <is>
          <t>https://www.eneva.com.br/en/ (Investor Relations: https://ri.eneva.com.br/en/)</t>
        </is>
      </c>
    </row>
    <row r="5" ht="92" customHeight="1">
      <c r="A5" s="7" t="inlineStr">
        <is>
          <t>EGIE3 BZ</t>
        </is>
      </c>
      <c r="B5" s="8" t="inlineStr">
        <is>
          <t>Engie Brasil Energia S.A. (ENGIE Brasil Energia; formerly Tractebel Energia S.A.)</t>
        </is>
      </c>
      <c r="C5" s="8" t="inlineStr">
        <is>
          <t>Brazil (Sociedade Anonima incorporated under Brazilian law; CNPJ 02.474.103/0001-19). Headquarters in Florianopolis, Santa Catarina, Brazil. Listed on B3 Novo Mercado (EGIE3); controlled ~68% by the ENGIE group (Paris).</t>
        </is>
      </c>
      <c r="D5" s="9" t="inlineStr">
        <is>
          <t>https://www.engie.com.br/en/investors/engie-brasil-energia-corporation/</t>
        </is>
      </c>
      <c r="E5" s="8" t="inlineStr">
        <is>
          <t>Official 'About ENGIE Brasil Energia SA' investor page identifies the company as a Brazilian listed corporation on B3 Novo Mercado (EGIE3), controlled ~68% by ENGIE. HQ city Florianopolis/Santa Catarina and ~68% ENGIE control corroborated by the company's own 'About ENGIE Brasil' page (engie.com.br/en/institutional/about-engie/) and Reference Form (FRE). CNPJ 02.474.103/0001-19 appears on official financial statements (DF-EBE). NOTE: engie.com.br cannot be fetched directly in this environment (org egress policy returns HTTP 403 on CONNECT for engie.com.br as well as wikipedia/finance domains); official page content was read via web-search excerpts of the exact official URLs, which returned the stated facts verbatim.</t>
        </is>
      </c>
      <c r="F5" s="8" t="inlineStr">
        <is>
          <t>11,265.9 MW own/proprietary installed capacity (operated generating park of 12,965.6 MW including partners' shares in consortium plants)</t>
        </is>
      </c>
      <c r="G5" s="10" t="inlineStr">
        <is>
          <t>1Q26 (as of March 31, 2026)</t>
        </is>
      </c>
      <c r="H5" s="11" t="inlineStr">
        <is>
          <t>High</t>
        </is>
      </c>
      <c r="I5" s="9" t="inlineStr">
        <is>
          <t>https://www.engie.com.br/wp-content/uploads/2026/05/Fact-Sheet-1Q26_ENG-1.pdf</t>
        </is>
      </c>
      <c r="J5" s="8" t="inlineStr">
        <is>
          <t>Official ENGIE Brasil Energia 1Q26 Fact Sheet. CONFIRMED verbatim via web-search excerpt of the official PDF: 'total installed capacity reached 11,265.9 MW, operating a generating park of 12,965.6 MW, consisting of 145 plants, including 13 hydroelectric plants and 132 complementary plants - one biomass, 88 wind, two Small Hydroelectric Plants (SHPs), and 41 solar.' Also cross-checked by the 1Q26 results press release. Prior annual snapshot (4Q24 Fact Sheet / FY2024 Management Report): own installed capacity 9,555.7 MW, total incl. partners 11,265.5 MW, 115 plants, as of Dec 31, 2024 (not independently re-fetched this pass but consistent with the draft). Direct PDF WebFetch returned HTTP 403 (org egress policy); figure verified via official-source search excerpt.</t>
        </is>
      </c>
      <c r="K5" s="11" t="n">
        <v>6</v>
      </c>
      <c r="L5" s="11" t="n">
        <v>4</v>
      </c>
      <c r="M5" s="9" t="inlineStr">
        <is>
          <t>https://www.engie.com.br/en/investors/</t>
        </is>
      </c>
    </row>
    <row r="6" ht="92" customHeight="1">
      <c r="A6" s="12" t="inlineStr">
        <is>
          <t>ENELGXCH CI</t>
        </is>
      </c>
      <c r="B6" s="13" t="inlineStr">
        <is>
          <t>Enel Generación Chile S.A. (formerly Empresa Nacional de Electricidad S.A. / Endesa Chile)</t>
        </is>
      </c>
      <c r="C6" s="13" t="inlineStr">
        <is>
          <t>Chile; incorporated in Chile as a Sociedad Anónima Abierta (open joint-stock company), RUT 91.081.000-6, with legal/registered domicile and head office at Santa Rosa 76, Santiago de Chile. Originally constituted in 1943 as Empresa Nacional de Electricidad S.A. (registered in the Registro de Comercio de Santiago, 1944); renamed Endesa Chile, then Enel Generación Chile S.A. in 2016. Approx. 93.5% owned by parent Enel Chile S.A.</t>
        </is>
      </c>
      <c r="D6" s="14" t="inlineStr">
        <is>
          <t>https://www.cmfchile.cl/institucional/mercados/entidad.php?mercado=V&amp;rut=91081000&amp;grupo=&amp;tipoentidad=RVEMI&amp;row=&amp;vig=VI&amp;control=svs&amp;pestania=1</t>
        </is>
      </c>
      <c r="E6" s="13" t="inlineStr">
        <is>
          <t>CMF Chile (Comisión para el Mercado Financiero) issuer registry entry for ENEL GENERACION CHILE S.A., RUT 91.081.000-6 — official regulator source for domicile/legal form. Legal form (sociedad anónima abierta), giro (generación y suministro de energía eléctrica), 1943 constitution, and registered address Santa Rosa 76, Santiago corroborated via CMF/enel.cl records. NOTE / CORRECTION: draft cited HQ as 'Av. Libertador Bernardo O'Higgins 1449' (the historic Alameda Endesa building); the company's current registered legal domicile per CMF filings is Santa Rosa 76, Santiago — corrected here. Direct WebFetch of enel.cl/cmfchile.cl returned HTTP 403 (session egress policy denial, confirmed via proxy status endpoint); facts extracted via web search of these official pages.</t>
        </is>
      </c>
      <c r="F6" s="13" t="inlineStr">
        <is>
          <t>5,620 MW (net installed capacity)</t>
        </is>
      </c>
      <c r="G6" s="15" t="inlineStr">
        <is>
          <t>As of December 2024 (FY2024)</t>
        </is>
      </c>
      <c r="H6" s="16" t="inlineStr">
        <is>
          <t>High</t>
        </is>
      </c>
      <c r="I6" s="14" t="inlineStr">
        <is>
          <t>https://www.enel.cl/en/meet-enel/enel-generation-chile.html</t>
        </is>
      </c>
      <c r="J6" s="13" t="inlineStr">
        <is>
          <t>Official Enel page 'Enel Generación Chile' (and the 2024 Memoria Anual Integrada Enel Generación) state a combined net installed capacity of 5,620 MW as of December 2024, 65% renewable. The three technology figures (3,573 + 1,965 + 82) sum exactly to 5,620 MW. VERIFIED via multiple independent web-search extractions of the official enel.cl page, which returned the identical figure and breakdown; direct WebFetch/curl of the official URL returned HTTP 403 (organization egress-policy denial, confirmed via /__agentproxy/status), so the page could not be re-opened directly, but the figure is consistent across sources.</t>
        </is>
      </c>
      <c r="K6" s="16" t="n">
        <v>3</v>
      </c>
      <c r="L6" s="16" t="n">
        <v>2</v>
      </c>
      <c r="M6" s="14" t="inlineStr">
        <is>
          <t>https://www.enel.cl/en/investors/investor-enel-generacion.html</t>
        </is>
      </c>
    </row>
    <row r="7" ht="92" customHeight="1">
      <c r="A7" s="7" t="inlineStr">
        <is>
          <t>COLBUN CI</t>
        </is>
      </c>
      <c r="B7" s="8" t="inlineStr">
        <is>
          <t>Colbún S.A.</t>
        </is>
      </c>
      <c r="C7" s="8" t="inlineStr">
        <is>
          <t>Chile. Incorporated in Chile as a Sociedad Anónima Abierta (open stock corporation); corporate HQ in Santiago (Las Condes), Av. Apoquindo 4775, Piso 11. Founded 1986. Registered with the CMF (Comisión para el Mercado Financiero), RUT 96.505.760-9.</t>
        </is>
      </c>
      <c r="D7" s="9" t="inlineStr">
        <is>
          <t>https://www.cmfchile.cl/institucional/mercados/entidad.php?mercado=V&amp;rut=96505760&amp;tipoentidad=RVEMI&amp;vig=VI&amp;control=svs&amp;pestania=1</t>
        </is>
      </c>
      <c r="E7" s="8" t="inlineStr">
        <is>
          <t>CMF Chile (official securities regulator) 'COLBUN S.A. - Identificacion' entity page cited as confirming Chilean registration and RUT 96505760; HQ city/address corroborated by Colbún Memoria Integrada 2023. NOTE: this URL could NOT be re-fetched in this environment (proxy returned HTTP 403 organization egress-policy denial), so the regulator page was not independently re-confirmed on this pass. The domicile (Chile, Santiago) is nonetheless well-established public fact and is retained with high confidence.</t>
        </is>
      </c>
      <c r="F7" s="8" t="inlineStr">
        <is>
          <t>5,023 MW (as of 31-Mar-2025; ~4,451 MW Chile + 572 MW Peru). Draft also cites a most-recent figure of ~5,034 MW as of 31-Dec-2025 (4Q25).</t>
        </is>
      </c>
      <c r="G7" s="10" t="inlineStr">
        <is>
          <t>Q1 2025 (31-Mar-2025); latest cited ~5,034 MW as of Q4 2025 (31-Dec-2025)</t>
        </is>
      </c>
      <c r="H7" s="11" t="inlineStr">
        <is>
          <t>Medium</t>
        </is>
      </c>
      <c r="I7" s="9" t="inlineStr">
        <is>
          <t>https://colbun.cl/docs/default-source/documentos-inversionistas/resultados-trimestrales/2025/1t25/earnings-report-1q25.pdf</t>
        </is>
      </c>
      <c r="J7" s="8" t="inlineStr">
        <is>
          <t>Colbún '1st Quarter 2025 Quarterly Earnings Report (as of March 31, 2025)', installed-capacity table (Chile + Peru by source) — official company source. VERIFICATION STATUS: could NOT be re-fetched this pass — colbun.cl returned HTTP 403 (organization egress-policy denial) and WebSearch budget was exhausted, so the figure was not re-confirmed against the live PDF. Retained from draft; internally consistent (per-technology lines sum exactly to 5,023 MW and reconcile to renewable 2,889 / thermal 2,134).</t>
        </is>
      </c>
      <c r="K7" s="11" t="n">
        <v>7</v>
      </c>
      <c r="L7" s="11" t="n">
        <v>4</v>
      </c>
      <c r="M7" s="9" t="inlineStr">
        <is>
          <t>https://www.colbun.cl</t>
        </is>
      </c>
    </row>
    <row r="8" ht="92" customHeight="1">
      <c r="A8" s="12" t="inlineStr">
        <is>
          <t>AURE3 BZ</t>
        </is>
      </c>
      <c r="B8" s="13" t="inlineStr">
        <is>
          <t>Auren Energia S.A.</t>
        </is>
      </c>
      <c r="C8" s="13" t="inlineStr">
        <is>
          <t>Brazil. Incorporated in Brazil as a sociedade anônima / companhia aberta (publicly listed on B3 under AURE3), CNPJ 28.594.234/0001-23. Headquarters in São Paulo, State of São Paulo (Avenida Dra. Ruth Cardoso, 8.501, 2nd floor, Pinheiros, CEP 05425-070).</t>
        </is>
      </c>
      <c r="D8" s="14" t="inlineStr">
        <is>
          <t>https://ri.aurenenergia.com.br/en/the-company/registration-data/</t>
        </is>
      </c>
      <c r="E8" s="13" t="inlineStr">
        <is>
          <t>Official IR 'Registration Data' page (company address/CNPJ), corroborated by CVM filings referencing 'AUREN ENERGIA S.A. Companhia Aberta CNPJ n.º 28.594.234/0001-23'. NOT RE-VERIFIED IN THIS PASS: the IR page and rad.cvm.gov.br both returned HTTP 403 CONNECT policy denials from this session's egress proxy, so the address/CNPJ could not be re-confirmed against the live page. Brazilian domicile, B3 listing (AURE3) and São Paulo HQ are consistent with the company's well-documented formation from Votorantim Energia + CESP and are high-confidence; the exact street address and CNPJ carry medium confidence because the source was unreachable for re-check.</t>
        </is>
      </c>
      <c r="F8" s="13" t="inlineStr">
        <is>
          <t>8,800 MW (~8.8 GW) operational installed capacity</t>
        </is>
      </c>
      <c r="G8" s="15" t="inlineStr">
        <is>
          <t>3Q2025 (as of Sept 30, 2025), per the cited 3T25 earnings release; note more recent quarters (4Q25/1Q26) may exist as of the July 2026 verification date but were not accessible</t>
        </is>
      </c>
      <c r="H8" s="16" t="inlineStr">
        <is>
          <t>Medium</t>
        </is>
      </c>
      <c r="I8" s="14" t="inlineStr">
        <is>
          <t>https://api.mziq.com/mzfilemanager/v2/d/691c9da5-45e0-458f-a3da-41982b1730fc/997c8334-33a8-b100-0185-f104f94c16dd?origin=1</t>
        </is>
      </c>
      <c r="J8" s="13" t="inlineStr">
        <is>
          <t>Official 'Release de Resultados 3T25' hosted on Auren's IR file server (api.mziq.com). Draft states operational installed capacity of 8,800 MW = hydro 4,746 + wind 3,178 + solar 876 MWac. INTERNAL-CONSISTENCY CHECK PASSED OFFLINE: 4,746 + 3,178 + 876 = 8,800 exactly. NOT RE-VERIFIED AGAINST LIVE SOURCE: api.mziq.com returned HTTP 403 CONNECT policy denial from this session's egress proxy (same denial hit the IR site and CVM), and the WebSearch budget was exhausted, so the PDF text could not be re-read to confirm the figure appears verbatim.</t>
        </is>
      </c>
      <c r="K8" s="16" t="n">
        <v>3</v>
      </c>
      <c r="L8" s="16" t="n">
        <v>3</v>
      </c>
      <c r="M8" s="14" t="inlineStr">
        <is>
          <t>https://www.aurenenergia.com.br/ (IR: https://ri.aurenenergia.com.br/en/)</t>
        </is>
      </c>
    </row>
    <row r="9" ht="92" customHeight="1">
      <c r="A9" s="7" t="inlineStr">
        <is>
          <t>PEHUEN CI</t>
        </is>
      </c>
      <c r="B9" s="8" t="inlineStr">
        <is>
          <t>Empresa Eléctrica Pehuenche S.A.</t>
        </is>
      </c>
      <c r="C9" s="8" t="inlineStr">
        <is>
          <t>Chile; incorporated in Chile, headquartered in Santiago. Publicly listed on the Bolsa de Comercio de Santiago (ticker PEHUENCHE); controlled subsidiary of Enel Generación Chile S.A. (Enel Group), which holds ~92.65%. RUT 96.504.980-0, registered with CMF Chile. Generation assets are in the Maule River basin, Maule Region.</t>
        </is>
      </c>
      <c r="D9" s="9" t="inlineStr">
        <is>
          <t>https://www.enel.cl/en/investors/investor-enel-generacion/subsidiaries/pehuenche-sa.html</t>
        </is>
      </c>
      <c r="E9" s="8" t="inlineStr">
        <is>
          <t>Official Enel Chile investor-relations page for the Pehuenche subsidiary. NOTE: could not be re-fetched in this pass — the enel.cl host is blocked by this session's egress policy (HTTP 403 to CONNECT), as are cmfchile.cl and the mirror third-party sources. Chilean domicile, Santiago HQ, Enel Generación Chile parentage, and Bolsa de Santiago listing are well-established facts consistent with the draft and with CMF Chile registration (RUT 96.504.980-0).</t>
        </is>
      </c>
      <c r="F9" s="8" t="inlineStr">
        <is>
          <t>699 MW</t>
        </is>
      </c>
      <c r="G9" s="10" t="inlineStr">
        <is>
          <t>Current operating fleet (three-plant hydro fleet unchanged for years); consistent with FY2024 disclosures</t>
        </is>
      </c>
      <c r="H9" s="11" t="inlineStr">
        <is>
          <t>High</t>
        </is>
      </c>
      <c r="I9" s="9" t="inlineStr">
        <is>
          <t>https://www.enel.cl/en/investors/investor-enel-generacion/subsidiaries/pehuenche-sa.html</t>
        </is>
      </c>
      <c r="J9" s="8" t="inlineStr">
        <is>
          <t>Official Enel Chile investor page for Pehuenche S.A.: owns/operates three hydro plants (Pehuenche 570 MW, Curillinque 89 MW, Loma Alta 40 MW) totalling 699 MW in the Maule River basin. Sum 570+89+40 = 699 MW checks out. COULD NOT be re-fetched this pass (enel.cl blocked by egress policy, HTTP 403); figure retained because it is a long-standing, internally consistent, widely corroborated value.</t>
        </is>
      </c>
      <c r="K9" s="11" t="n">
        <v>1</v>
      </c>
      <c r="L9" s="11" t="n">
        <v>1</v>
      </c>
      <c r="M9" s="9" t="inlineStr">
        <is>
          <t>https://www.enel.cl/en/investors/investor-enel-generacion/subsidiaries/pehuenche-sa.html</t>
        </is>
      </c>
    </row>
    <row r="10" ht="92" customHeight="1">
      <c r="A10" s="12" t="inlineStr">
        <is>
          <t>CELSIA CB</t>
        </is>
      </c>
      <c r="B10" s="13" t="inlineStr">
        <is>
          <t>Celsia S.A. E.S.P.</t>
        </is>
      </c>
      <c r="C10" s="13" t="inlineStr">
        <is>
          <t>Colombia. Domiciled/incorporated in Medellín, Antioquia; HQ in Medellín. Constituted by Public Deed No. 2912 of 4 October 2001 (Notaría 20 de Medellín); formerly Compañía Colombiana de Inversiones S.A. E.S.P., renamed Celsia S.A. E.S.P. in 2012. Ultimately controlled by Grupo Argos S.A.</t>
        </is>
      </c>
      <c r="D10" s="14" t="inlineStr">
        <is>
          <t>https://www.celsia.com/en/inversionistas/celsia-colombia/estructura-societaria/</t>
        </is>
      </c>
      <c r="E10" s="13" t="inlineStr">
        <is>
          <t>Official Celsia investor-relations 'Corporate/Societary structure' page. COULD NOT BE RE-VERIFIED in this session: direct WebFetch returned HTTP 403 (organization egress-policy denial, not authentication). The domicile (Medellín), the 2001 incorporation deed, the 2012 rename from Compañía Colombiana de Inversiones, and Grupo Argos control are well-established, mutually consistent public facts, so retained with high confidence despite the fetch block.</t>
        </is>
      </c>
      <c r="F10" s="13" t="inlineStr">
        <is>
          <t>2,066 MW (also stated as 2,066.53 MW)</t>
        </is>
      </c>
      <c r="G10" s="15" t="inlineStr">
        <is>
          <t>FY2024 (as of Dec 2024)</t>
        </is>
      </c>
      <c r="H10" s="16" t="inlineStr">
        <is>
          <t>Medium</t>
        </is>
      </c>
      <c r="I10" s="14" t="inlineStr">
        <is>
          <t>https://www.celsia.com/es/quienes-somos/que-hacemos/</t>
        </is>
      </c>
      <c r="J10" s="13" t="inlineStr">
        <is>
          <t>Official Celsia 'Qué hacemos' page: '44 plantas de generación en Colombia y Centroamérica con una capacidad instalada de 2.066 MW' and '4.823 GWh generados en 2024'. Also stated in the 2024 Integrated Report (files.grupoargos.com/.../grupo-argos-reporte-integrado-celsia-2024.pdf). NOT RE-VERIFIED THIS SESSION: WebFetch of both celsia.com and files.grupoargos.com returned HTTP 403 egress-policy denials. Figure is consistent with Celsia's known FY2024 reporting and is retained.</t>
        </is>
      </c>
      <c r="K10" s="16" t="n">
        <v>4</v>
      </c>
      <c r="L10" s="16" t="n">
        <v>5</v>
      </c>
      <c r="M10" s="14" t="inlineStr">
        <is>
          <t>https://www.celsia.com</t>
        </is>
      </c>
    </row>
    <row r="11" ht="92" customHeight="1">
      <c r="A11" s="7" t="inlineStr">
        <is>
          <t>ENMT4 BZ</t>
        </is>
      </c>
      <c r="B11" s="8" t="inlineStr">
        <is>
          <t>Energisa Mato Grosso - Distribuidora de Energia S.A. (formerly Centrais Elétricas Matogrossenses S.A. - CEMAT; part of Grupo Energisa)</t>
        </is>
      </c>
      <c r="C11" s="8" t="inlineStr">
        <is>
          <t>Brazil. Incorporated in Brazil (B3-listed); headquarters in Cuiabá, state of Mato Grosso (registered office: Av. Governador Dante Martins Oliveira, Bosque da Saúde, Cuiabá - MT, CEP 78050-182). CNPJ base 03.467.321 (matrix 03.467.321/0001-99).</t>
        </is>
      </c>
      <c r="D11" s="9" t="inlineStr">
        <is>
          <t>https://www.econodata.com.br/consulta-empresa/03467321005824-energisa-mato-grosso-distribuidora-de-energia-sa</t>
        </is>
      </c>
      <c r="E11" s="8" t="inlineStr">
        <is>
          <t>Econodata / CNPJ registry (third-party aggregator of official Receita Federal data): legal name 'Energisa Mato Grosso - Distribuidora de Energia S.A.', CNPJ base 03.467.321, HQ in Cuiabá, MT, Brazil. NOTE: this URL could NOT be re-fetched this session (HTTP 403 egress-policy denial at the proxy gateway). Domicile is confirmed high-confidence on domain knowledge: ENMT4/ENMT3 is the former CEMAT (Centrais Elétricas Matogrossenses), the Mato Grosso state distribution concessionaire acquired by Grupo Energisa in 2014, indisputably a Brazil-domiciled, B3-listed entity headquartered in Cuiabá, MT. Not independently re-verified against an official CVM/company source this session because all external hosts were blocked.</t>
        </is>
      </c>
      <c r="F11" s="8" t="inlineStr">
        <is>
          <t>N/A (electricity DISTRIBUTION concessionaire; no material directly-owned generation - see notes)</t>
        </is>
      </c>
      <c r="G11" s="10" t="inlineStr">
        <is>
          <t>2024/2025 (structural, based on Brazilian regulatory unbundling)</t>
        </is>
      </c>
      <c r="H11" s="11" t="inlineStr">
        <is>
          <t>High</t>
        </is>
      </c>
      <c r="I11" s="9" t="inlineStr">
        <is>
          <t>https://pt.wikipedia.org/wiki/Energisa_Mato_Grosso</t>
        </is>
      </c>
      <c r="J11" s="8" t="inlineStr">
        <is>
          <t>Entity is a distribution concessionaire of Grupo Energisa serving the state of Mato Grosso (~141 municipalities). Under Brazilian sector law (Lei 10.848/2004, 'desverticalização'), a distribution utility must be a pure wires/distribution business and legally cannot own generation or transmission; therefore ENMT4 itself holds no reported installed generation capacity. Legacy CEMAT-era plants are held in generation-specific entities, not the listed distribution company. NOTE: the cited pt.Wikipedia URL returned HTTP 403 (egress-policy denial) and could not be re-read this session; the N/A conclusion is nonetheless high-confidence on the structural/regulatory grounds and matches domain knowledge of the Brazilian distribution model.</t>
        </is>
      </c>
      <c r="K11" s="11" t="n">
        <v>0</v>
      </c>
      <c r="L11" s="11" t="n">
        <v>1</v>
      </c>
      <c r="M11" s="9" t="inlineStr">
        <is>
          <t>https://ri.energisa.com.br/en/ (group investor relations); https://www.energisa.com.br/regioes/mato-grosso (operating unit)</t>
        </is>
      </c>
    </row>
    <row r="12" ht="92" customHeight="1">
      <c r="A12" s="12" t="inlineStr">
        <is>
          <t>EQMA3B BZ</t>
        </is>
      </c>
      <c r="B12" s="13" t="inlineStr">
        <is>
          <t>Equatorial Maranhão Distribuidora de Energia S.A. (formerly Companhia Energética do Maranhão - CEMAR; part of the Equatorial Energia group)</t>
        </is>
      </c>
      <c r="C12" s="13" t="inlineStr">
        <is>
          <t>Brazil (incorporated in Brazil as an S.A., listed on B3). Headquarters: São Luís, State of Maranhão, Brazil. CNPJ 06.272.793/0001-84.</t>
        </is>
      </c>
      <c r="D12" s="14" t="inlineStr">
        <is>
          <t>https://www.econodata.com.br/consulta-empresa/06272793000184-equatorial-maranhao-distribuidora-de-energia-sa</t>
        </is>
      </c>
      <c r="E12" s="13" t="inlineStr">
        <is>
          <t>Country of domicile (Brazil) is high-confidence: EQMA3B is a B3-listed Brazilian S.A. and the entity is the state distribution concessionaire for Maranhão. NOTE: in THIS session the third-party registry aggregator (econodata) and every other external host — including the company's own official domains (ma.equatorialenergia.com.br, ri.equatorialenergia.com.br), en/pt Wikipedia, and b3.com.br — all returned HTTP 403 under the organization's egress policy, so this specific URL could NOT be re-fetched here. CNPJ 06.272.793/0001-84 and HQ São Luís-MA are carried over from the prior draft (third-party registries econodata/cnpja) and were not independently re-confirmed this session.</t>
        </is>
      </c>
      <c r="F12" s="13" t="inlineStr">
        <is>
          <t>N/A (distribution-only utility - owns no directly-held generation capacity; see notes)</t>
        </is>
      </c>
      <c r="G12" s="15" t="inlineStr">
        <is>
          <t>FY2024 / 2025</t>
        </is>
      </c>
      <c r="H12" s="16" t="inlineStr">
        <is>
          <t>High</t>
        </is>
      </c>
      <c r="I12" s="14" t="inlineStr">
        <is>
          <t>https://ri.equatorialenergia.com.br/</t>
        </is>
      </c>
      <c r="J12" s="13" t="inlineStr">
        <is>
          <t>Equatorial Maranhão is the electricity DISTRIBUTION concessionaire for the State of Maranhão (registered principal activity CNAE 3514-0/00, 'Distribuição de energia elétrica'). Under Brazilian regulatory unbundling (Law 10.848/2004) distribution concessionaires may not own generation; the Equatorial group's generation assets sit at the parent Equatorial Energia (EQTL3) / other subsidiaries, not at this distributor. Hence installed generation capacity = N/A. This qualitative conclusion is high-confidence and structurally certain regardless of source access. Official IR page (ri.equatorialenergia.com.br) was HTTP 403 (org egress policy) this session and could not be fetched to attach a live citation.</t>
        </is>
      </c>
      <c r="K12" s="16" t="n">
        <v>0</v>
      </c>
      <c r="L12" s="16" t="n">
        <v>1</v>
      </c>
      <c r="M12" s="14" t="inlineStr">
        <is>
          <t>https://ma.equatorialenergia.com.br/ (operating utility); group investor relations: https://ri.equatorialenergia.com.br/</t>
        </is>
      </c>
    </row>
    <row r="13" ht="92" customHeight="1">
      <c r="A13" s="7" t="inlineStr">
        <is>
          <t>GEPA4 BZ</t>
        </is>
      </c>
      <c r="B13" s="8" t="inlineStr">
        <is>
          <t>Rio Paranapanema Energia S.A. (formerly Duke Energy International, Geração Paranapanema S.A.; controlled by CTG Brasil / China Three Gorges lineage)</t>
        </is>
      </c>
      <c r="C13" s="8" t="inlineStr">
        <is>
          <t>Brazil (incorporated in Brazil; listed on B3). HQ in Sao Paulo, SP - Rua Funchal, 418, Vila Olimpia. CNPJ 02.998.301/0001-81; founded 22 Feb 1999.</t>
        </is>
      </c>
      <c r="D13" s="9" t="inlineStr">
        <is>
          <t>https://www.econodata.com.br/consulta-empresa/02998301000181-rio-paranapanema-energia-sa</t>
        </is>
      </c>
      <c r="E13" s="8" t="inlineStr">
        <is>
          <t>Econodata company registry (third-party, sourced from Brazil Receita Federal CNPJ registry): registered office 'Rua Funchal, 418 - Vila Olimpia, Sao Paulo - SP', CNPJ 02.998.301/0001-81, founding date 22/02/1999, main activity 'electric power generation'. Sao Paulo domicile is corroborated across CTG Brasil IR pages (ri.ctgbr.com.br) and the B3 listing (GEPA3/GEPA4). Brazil domicile is high-confidence from multiple converging references; note that in THIS verification pass the source page could not be re-fetched (all outbound egress returned 403 policy denials - see verification_notes).</t>
        </is>
      </c>
      <c r="F13" s="8" t="inlineStr">
        <is>
          <t>~2,274 MW total, all hydroelectric (eight large hydro plants (UHEs) on the Paranapanema river ~2,241 MW + two small hydro plants (PCHs) on the Sapucai-Mirim river ~32.5 MW). A 25-Jun-2025 rating report cites 2,297.8 MW total installed capacity and ~1,069.8 MW average physical guarantee (assured energy). UNVERIFIED THIS PASS - could not re-fetch primary source (see verification_notes).</t>
        </is>
      </c>
      <c r="G13" s="10" t="inlineStr">
        <is>
          <t>Current (2024/2025); company-stated 2,241 MW for the eight UHEs; 2,297.8 MW from a 25-Jun-2025 rating report</t>
        </is>
      </c>
      <c r="H13" s="11" t="inlineStr">
        <is>
          <t>Medium</t>
        </is>
      </c>
      <c r="I13" s="9" t="inlineStr">
        <is>
          <t>https://www.ctgbr.com.br/en/operations/hydropower/</t>
        </is>
      </c>
      <c r="J13" s="8" t="inlineStr">
        <is>
          <t>CTG Brasil official operations page and CTG Brasil IR (ri.ctgbr.com.br) state Rio Paranapanema Energia operates eight hydro plants on the Paranapanema river totaling 2,241 MW (Capivara, Chavantes, Jurumirim, Salto Grande, Taquarucu, Rosana + Canoas I &amp; II, Canoas complex held ~49.7% via consortium with CBA); plus two PCHs on the Sapucai-Mirim river (Palmeiras + Retiro, ~32.5 MW), giving ~2,274 MW for 10 plants. The 2,297.8 MW / 1,069.8 MW physical-guarantee figure is from a rating report dated 25-Jun-2025 (api.mziq.com). NOTE: in this fact-check pass the cited URLs could not be re-fetched (403 egress policy denials) and WebSearch budget was exhausted; figures carried from prior research, not independently re-confirmed.</t>
        </is>
      </c>
      <c r="K13" s="11" t="n">
        <v>2</v>
      </c>
      <c r="L13" s="11" t="n">
        <v>2</v>
      </c>
      <c r="M13" s="9" t="inlineStr">
        <is>
          <t>https://ri.ctgbr.com.br/en/rio-paranapanema-energia/ (investor relations); parent group: https://www.ctgbr.com.br</t>
        </is>
      </c>
    </row>
    <row r="14" ht="92" customHeight="1">
      <c r="A14" s="12" t="inlineStr">
        <is>
          <t>CEBR5 BZ</t>
        </is>
      </c>
      <c r="B14" s="13" t="inlineStr">
        <is>
          <t>Companhia Energética de Brasília (CEB) — now operating primarily as a holding company (with CEB Participações S.A. and generation subsidiaries CEB Geração S.A. and CEB Lajeado S.A.)</t>
        </is>
      </c>
      <c r="C14" s="13" t="inlineStr">
        <is>
          <t>Brazil — incorporated in Brazil; headquarters in Brasília, Federal District (DF). HQ cited as ION Efficient Office Building, SGAN Quadra 601, Bloco H, Asa Norte, Brasília, CEP 70830-010. CNPJ 00.070.698/0001-11. Controlled by the Government of the Federal District (GDF).</t>
        </is>
      </c>
      <c r="D14" s="14" t="inlineStr">
        <is>
          <t>https://pt.wikipedia.org/wiki/Companhia_Energ%C3%A9tica_de_Bras%C3%ADlia</t>
        </is>
      </c>
      <c r="E14" s="13" t="inlineStr">
        <is>
          <t>Portuguese Wikipedia article on Companhia Energética de Brasília (history, HQ, GDF control), corroborated in the draft by econodata.com.br company registry (CNPJ, Brasília/DF address) and the CEB IR site ri.ceb.com.br. NOTE: none of these sources could be re-fetched in this verification pass — ri.ceb.com.br, econodata.com.br and pt.wikipedia.org all returned HTTP 403 policy denials at the session egress proxy, and the WebSearch budget was exhausted (200/200). The Brazil / Brasília-DF / GDF-control facts are consistent with general knowledge of CEB and are retained; the exact CNPJ/street address could not be re-confirmed on-source in this pass.</t>
        </is>
      </c>
      <c r="F14" s="13" t="inlineStr">
        <is>
          <t>No large wholly-owned fleet. Directly controlled: ~30 MW (UHE/PCH Paranoá, 100% via CEB Geração, all hydro). Beyond Paranoá, CEB holds minority equity and/or energy-commercialization stakes in additional hydro plants: Lajeado 902.5 MW, Corumbá IV 129.6 MW, Queimado 105 MW, Corumbá III 96.45 MW (gross of these four ≈ 1,233.5 MW; +30 MW Paranoá ≈ 1,263.5 MW gross). CEB / Wikipedia cite an aggregate of '708 MW' for its generation participation, but that figure does not reconcile with the plant-by-plant data (gross ≈ 1,263 MW; CEB proportional/equity share ≈ 290–330 MW). See data_notes.</t>
        </is>
      </c>
      <c r="G14" s="15" t="inlineStr">
        <is>
          <t>2024–2025 (plant capacities and concessions current per draft; Corumbá III ownership reportedly updated to ~24% CEB / ~76% Neoenergia as of ~Mar 2026)</t>
        </is>
      </c>
      <c r="H14" s="16" t="inlineStr">
        <is>
          <t>Low</t>
        </is>
      </c>
      <c r="I14" s="14" t="inlineStr">
        <is>
          <t>https://ri.ceb.com.br/conheca-a-ceb/portfolio-de-negocios/</t>
        </is>
      </c>
      <c r="J14" s="13" t="inlineStr">
        <is>
          <t>CEB IR 'Portfólio de Negócios' page and Portuguese Wikipedia (per the original draft) state CEB participates in Lajeado, Corumbá III, Corumbá IV and Queimado 'totaling 708 MW', plus Paranoá 30 MW. In THIS verification pass the page could NOT be re-fetched: ri.ceb.com.br returned HTTP 403 at the egress proxy and WebSearch budget was exhausted, so the 708 MW aggregate and individual plant figures could not be re-confirmed on-source. Confidence kept low because the 708 MW aggregate is not reproducible from the individual plant figures and could not be re-verified.</t>
        </is>
      </c>
      <c r="K14" s="16" t="n">
        <v>6</v>
      </c>
      <c r="L14" s="16" t="n">
        <v>4</v>
      </c>
      <c r="M14" s="14" t="inlineStr">
        <is>
          <t>https://ri.ceb.com.br/ (investor relations); https://www.ceb.com.br/ (corporate)</t>
        </is>
      </c>
    </row>
    <row r="15" ht="92" customHeight="1">
      <c r="A15" s="7" t="inlineStr">
        <is>
          <t>PUNTILLA CI</t>
        </is>
      </c>
      <c r="B15" s="8" t="inlineStr">
        <is>
          <t>Eléctrica Puntilla S.A. (Empresa Eléctrica Puntilla S.A. y Filiales)</t>
        </is>
      </c>
      <c r="C15" s="8" t="inlineStr">
        <is>
          <t>Chile; headquarters in Providencia, Santiago, Chile</t>
        </is>
      </c>
      <c r="D15" s="9" t="inlineStr">
        <is>
          <t>https://www.cmfchile.cl/institucional/mercados/entidad.php?mercado=V&amp;rut=96817230&amp;tipoentidad=RVEMI&amp;vig=VI&amp;control=svs&amp;pestania=1</t>
        </is>
      </c>
      <c r="E15" s="8" t="inlineStr">
        <is>
          <t>Official regulator CMF Chile (Comisión para el Mercado Financiero) issuer registry for ELECTRICA PUNTILLA S.A., RUT 96.817.230, a Chilean securities issuer (RVEMI / sociedad anónima). NOTE: this regulator URL could NOT be re-fetched in this session — the egress proxy returned a policy denial (connect_rejected) for cmfchile.cl. Domicile (Chile; Providencia, Santiago) is consistent with the company being a registered Chilean S.A. controlled by Sociedad del Canal de Maipo, but was not re-confirmed against a live page this session.</t>
        </is>
      </c>
      <c r="F15" s="8" t="inlineStr">
        <is>
          <t>~43.8 MW owned and operational (100% run-of-river hydro: Central Puntilla ~22.1 MW + Central Itata ~20 MW + Central Vertientes ~1.7 MW). Separately, the company OPERATES under contract (does not own) ~30.9 MW of hydro belonging to Sociedad del Canal de Maipo, and has developed the 136 MW Central Ñuble de Pasada; Ñuble's commercial-operation status could not be confirmed this session and its 136 MW is therefore excluded from owned operational capacity. See notes.</t>
        </is>
      </c>
      <c r="G15" s="10" t="inlineStr">
        <is>
          <t>Plant data circa 2013-2024 as previously reported on company site; NOT re-verified this session</t>
        </is>
      </c>
      <c r="H15" s="11" t="inlineStr">
        <is>
          <t>Low</t>
        </is>
      </c>
      <c r="I15" s="9" t="inlineStr">
        <is>
          <t>https://www.electricapuntilla.cl/centrales/</t>
        </is>
      </c>
      <c r="J15" s="8" t="inlineStr">
        <is>
          <t>Company 'Centrales' page (official). This page could NOT be fetched this session — the egress proxy returned a policy denial (HTTP 403 / connect_rejected) for electricapuntilla.cl, as it did for every external host attempted. Figures carried over from the draft (originally sourced via search-engine extraction of the official pages and cross-checked against Wikipedia). No figure could be read directly off the source page in this session.</t>
        </is>
      </c>
      <c r="K15" s="11" t="n">
        <v>1</v>
      </c>
      <c r="L15" s="11" t="n">
        <v>0</v>
      </c>
      <c r="M15" s="9" t="inlineStr">
        <is>
          <t>https://www.electricapuntilla.cl/</t>
        </is>
      </c>
    </row>
    <row r="16" ht="92" customHeight="1">
      <c r="A16" s="12" t="inlineStr">
        <is>
          <t>WIG JA</t>
        </is>
      </c>
      <c r="B16" s="13" t="inlineStr">
        <is>
          <t>Wigton Energy Limited (formerly Wigton Windfarm Limited; renamed on the JSE effective 8 November 2024)</t>
        </is>
      </c>
      <c r="C16" s="13" t="inlineStr">
        <is>
          <t>Jamaica (incorporated in Jamaica, April 2000). Registered office / HQ: 36 Trafalgar Road, Kingston 10, St. Andrew, Jamaica. Wind farm assets located at Rose Hill, Manchester, Jamaica. Originally a subsidiary of the Petroleum Corporation of Jamaica (PCJ); fully divested from the Government of Jamaica and listed on the JSE main market in April 2019.</t>
        </is>
      </c>
      <c r="D16" s="14" t="inlineStr">
        <is>
          <t>https://jis.gov.jm/government/agencies/wigton-wind-farm-limited/</t>
        </is>
      </c>
      <c r="E16" s="13" t="inlineStr">
        <is>
          <t>Jamaica Information Service (JIS) government agency profile for Wigton Wind Farm Limited (official Government of Jamaica source) states incorporation in Jamaica and Rose Hill, Manchester location; HQ address 36 Trafalgar Road, Kingston corroborated by JSE/company listings. NOTE (this verification run): live WebFetch could NOT be performed — the egress proxy returned HTTP 403 policy denials for ALL outbound hosts (company site, JIS, JSE, power-technology, NCB, Wikipedia) and the WebSearch quota was exhausted. Jamaica domicile is retained as it is a well-established public fact consistent with prior knowledge; not independently re-fetched this run.</t>
        </is>
      </c>
      <c r="F16" s="13" t="inlineStr">
        <is>
          <t>62.7 MW (all wind), across three phases: Wigton I (Phase I) 20.7 MW, Wigton II (Phase II) 18 MW, Wigton III (Phase III) 24 MW; 44 wind turbines total</t>
        </is>
      </c>
      <c r="G16" s="15" t="inlineStr">
        <is>
          <t>Current operating fleet as of mid-2026 (Phase I 2004, Phase II 2010, Phase III 2016)</t>
        </is>
      </c>
      <c r="H16" s="16" t="inlineStr">
        <is>
          <t>Medium</t>
        </is>
      </c>
      <c r="I16" s="14" t="inlineStr">
        <is>
          <t>https://jis.gov.jm/government/agencies/wigton-wind-farm-limited/</t>
        </is>
      </c>
      <c r="J16" s="13" t="inlineStr">
        <is>
          <t>JIS (Government of Jamaica) agency profile: 62.7 MW, 44 turbines, Phase I 20.7 MW / Phase II 18 MW / Phase III 24 MW at Rose Hill, Manchester. Corroborated by power-technology.com plant profile (62.7 MW wind). VERIFICATION LIMITATION (this run): the source_url could NOT be re-fetched — the egress proxy returned HTTP 403 policy denials for every outbound host and the WebSearch budget (200/200) was exhausted before this task. The 62.7 MW total and the 20.7/18/24 MW per-phase split are widely and consistently reported and match prior knowledge, so retained; but this run did not directly read the cited page.</t>
        </is>
      </c>
      <c r="K16" s="16" t="n">
        <v>1</v>
      </c>
      <c r="L16" s="16" t="n">
        <v>2</v>
      </c>
      <c r="M16" s="14" t="inlineStr">
        <is>
          <t>https://wigtonenergy.com/</t>
        </is>
      </c>
    </row>
    <row r="17" ht="92" customHeight="1">
      <c r="A17" s="7" t="inlineStr">
        <is>
          <t>ENLASA CI</t>
        </is>
      </c>
      <c r="B17" s="8" t="inlineStr">
        <is>
          <t>Energía Latina S.A. (Enlasa) — generation held via subsidiary Enlasa Generación Chile S.A.</t>
        </is>
      </c>
      <c r="C17" s="8" t="inlineStr">
        <is>
          <t>Chile; HQ in Vitacura, Santiago. Incorporated 2005 as a Chilean sociedad anónima; the group is a CMF-Chile registered issuer (bond issuer Enlasa Generación Chile S.A.).</t>
        </is>
      </c>
      <c r="D17" s="9" t="inlineStr">
        <is>
          <t>https://stockanalysis.com/quote/snse/ENLASA/company/</t>
        </is>
      </c>
      <c r="E17" s="8" t="inlineStr">
        <is>
          <t>Third-party profiles (stockanalysis.com, Investing.com, Yahoo Finance ENLASA.SN, BNamericas) state Energía Latina S.A. was incorporated in 2005 and is based in Vitacura, Chile. Company's own site enlasa.com confirms Chilean domicile but could NOT be fetched in this session (org egress policy 403). NON-OFFICIAL corroboration; consistent with Enlasa being a CMF-Chile registered issuer. Not independently re-verified this session — see verification_notes.</t>
        </is>
      </c>
      <c r="F17" s="8" t="inlineStr">
        <is>
          <t>~356.8 MW nominal diesel (296.1 MW maximum effective) + ~21.15 MWp grid solar ≈ ~378 MW total nominal</t>
        </is>
      </c>
      <c r="G17" s="10" t="inlineStr">
        <is>
          <t>Diesel figures as of Dec 2023 (carried in Nov 2024 and Nov 2025 Humphreys rating reports); solar plants commissioned 2022–2023</t>
        </is>
      </c>
      <c r="H17" s="11" t="inlineStr">
        <is>
          <t>Medium</t>
        </is>
      </c>
      <c r="I17" s="9" t="inlineStr">
        <is>
          <t>https://humphreys.cl/wp-content/uploads/2018/08/Informe-Enlasa-Generacion-Chile-Nov-2025-Anual.pdf</t>
        </is>
      </c>
      <c r="J17" s="8" t="inlineStr">
        <is>
          <t>Humphreys credit-rating report 'Enlasa Generación Chile S.A.' (Nov 2025 Anual) and Nov 2024 report: four diesel plants total 356.8 MW nominal installed capacity ≈ 296.1 MW maximum power, = ~0.9% of Chile's SEN as of Dec 2023; plus two grid solar plants totaling 21.15 MWp / 16.9 MW max. NON-OFFICIAL (rating agency compiling company data). PDF could NOT be opened this session (org egress policy 403); figures carried from the draft's indexed search extracts and not independently re-confirmed — see verification_notes.</t>
        </is>
      </c>
      <c r="K17" s="11" t="n">
        <v>2</v>
      </c>
      <c r="L17" s="11" t="n">
        <v>2</v>
      </c>
      <c r="M17" s="9" t="inlineStr">
        <is>
          <t>https://www.enlasa.com</t>
        </is>
      </c>
    </row>
    <row r="18" ht="92" customHeight="1">
      <c r="A18" s="12" t="inlineStr">
        <is>
          <t>AESO3 BZ</t>
        </is>
      </c>
      <c r="B18" s="13" t="inlineStr">
        <is>
          <t>AES Brasil Energia S.A. / AES Brasil Operacoes S.A. (integrated into Auren Energia S.A. in 2024)</t>
        </is>
      </c>
      <c r="C18" s="13" t="inlineStr">
        <is>
          <t>Brazil (incorporated in Brazil); HQ in Sao Paulo, SP (Av. Luiz Carlos Berrini, 1.376, Cidade Moncoes, Sao Paulo). Listed on B3.</t>
        </is>
      </c>
      <c r="D18" s="14" t="inlineStr">
        <is>
          <t>https://api.mziq.com/mzfilemanager/v2/d/691c9da5-45e0-458f-a3da-41982b1730fc/e1c93456-f992-40b5-ac87-d0615d99691c?origin=1</t>
        </is>
      </c>
      <c r="E18" s="13" t="inlineStr">
        <is>
          <t>Official CVM/investor-relations filing header: 'AES BRASIL ENERGIA S.A. Companhia Aberta, CNPJ/MF 37.663.076/0001-07' with registered address on Av. Luiz Carlos Berrini, Sao Paulo-SP. NOTE: on this fact-check pass the mziq-hosted PDF returned HTTP 403 from the fetch tool due to the session's egress policy (not a dead link), so it could NOT be re-fetched here; the CNPJ/address remain the company's own registration data carried from the prior pass. Domicile Brazil is independently self-evident from the B3 listing and the Brazil-incorporated CNPJ.</t>
        </is>
      </c>
      <c r="F18" s="13" t="inlineStr">
        <is>
          <t>~4,200 MW (4.2 GW) in operation; ~5,200 MW (5.2 GW) including ~1.0 GW under construction. 100% renewable.</t>
        </is>
      </c>
      <c r="G18" s="15" t="inlineStr">
        <is>
          <t>Last standalone disclosure, ~FY2023 / early 2024 (before integration into Auren Energia, completed late 2024)</t>
        </is>
      </c>
      <c r="H18" s="16" t="inlineStr">
        <is>
          <t>Medium</t>
        </is>
      </c>
      <c r="I18" s="14" t="inlineStr">
        <is>
          <t>https://ri.aesbrasil.com.br/en/meet-aes-brasil/aes-brasil/</t>
        </is>
      </c>
      <c r="J18" s="13" t="inlineStr">
        <is>
          <t>AES Brasil official IR 'Meet AES Brasil' page (4.2 GW operational + 1.0 GW under construction = 5.2 GW, exclusively renewable, described as Brazil's 3rd-largest renewable player). COULD NOT be re-verified on this pass: the ri.aesbrasil.com.br domain no longer resolves (DNS ENOTFOUND) and the successor Auren IR host (ri.aurenenergia.com.br) plus all alternative sources (Wikipedia, Reuters, B3, CVM) were blocked by the session egress policy (403). Figures are consistent with the analyst's knowledge of AES Brasil's standalone portfolio; retained as-is at medium confidence.</t>
        </is>
      </c>
      <c r="K18" s="16" t="n">
        <v>3</v>
      </c>
      <c r="L18" s="16" t="n">
        <v>3</v>
      </c>
      <c r="M18" s="13" t="inlineStr">
        <is>
          <t>Former: https://www.aesbrasil.com.br and IR https://ri.aesbrasil.com.br (both now offline / non-resolving post-merger). Successor group IR: https://ri.aurenenergia.com.br (corporate: https://www.aurenenergia.com.br)</t>
        </is>
      </c>
    </row>
    <row r="19" ht="92" customHeight="1">
      <c r="A19" s="7" t="inlineStr">
        <is>
          <t>PRMN3B BZ</t>
        </is>
      </c>
      <c r="B19" s="8" t="inlineStr">
        <is>
          <t>Produtores Energéticos de Manso S.A. (PROMAN)</t>
        </is>
      </c>
      <c r="C19" s="8" t="inlineStr">
        <is>
          <t>Brazil; headquarters in Rio de Janeiro, RJ (Rua Jardim Botânico 674, sala 316, Jardim Botânico, CEP 22461-002). Company founded 12 Oct 1997; CNPJ 02.291.077/0001-93. Generation asset (UHE/APM Manso) is physically located in Chapada dos Guimarães, Mato Grosso.</t>
        </is>
      </c>
      <c r="D19" s="9" t="inlineStr">
        <is>
          <t>https://promanmt.com.br/a-empresa/</t>
        </is>
      </c>
      <c r="E19" s="8" t="inlineStr">
        <is>
          <t>PROMAN corporate site 'A empresa'/'Breve histórico' (official company source) per the draft; HQ/CNPJ corroborated by B3/CVM registration and CNPJ registry (cnpj.biz, ivalor.com.br PRMN3B). VERIFICATION NOTE: In this session WebFetch to promanmt.com.br and ivalor.com.br both returned HTTP 403 (organization egress-policy denial per the agent proxy), so the address/CNPJ could NOT be re-confirmed against a live source; retained from the draft. The core fact (Brazil domicile; MT plant location) is consistent with widely established public record.</t>
        </is>
      </c>
      <c r="F19" s="8" t="inlineStr">
        <is>
          <t>210 MW total installed capacity of the UHE/APM-Manso hydro plant (4 x 52.5 MW units). PROMAN is a single-asset investment company holding a 30% economic interest in this one plant via the Consórcio Manso (Furnas — now referred to as Axia Energia — holds 70% and operates it), i.e. ~63 MW attributable to PROMAN. PROMAN's assured firm energy (energia assegurada) under the concession is ~92.0 MW average/year.</t>
        </is>
      </c>
      <c r="G19" s="10" t="inlineStr">
        <is>
          <t>Plant in operation since 2000; figures per latest available filings (2022-2026)</t>
        </is>
      </c>
      <c r="H19" s="11" t="inlineStr">
        <is>
          <t>Medium</t>
        </is>
      </c>
      <c r="I19" s="9" t="inlineStr">
        <is>
          <t>https://www.furnas.com.br/subsecao/124/usina-de-manso---210-mw?culture=pt</t>
        </is>
      </c>
      <c r="J19" s="8" t="inlineStr">
        <is>
          <t>Eletrobras Furnas official plant page 'Usina de Manso - 210 MW' (page title itself states 210 MW; four 52.5 MW units). Ownership split Furnas/Axia 70% / PROMAN 30% per Furnas page and PROMAN 'Breve histórico'. VERIFICATION NOTE: WebFetch to furnas.com.br returned HTTP 403 (egress-policy denial) in this session, so the page could not be rendered live; the 210 MW / 4x52.5 MW figure and the 70/30 split are consistent with long-established public record for APM-Manso and are retained. 92.0 MW firm energy is from Concession Contract nº 10/2000 as cited in PROMAN's published balanços.</t>
        </is>
      </c>
      <c r="K19" s="11" t="n">
        <v>1</v>
      </c>
      <c r="L19" s="11" t="n">
        <v>2</v>
      </c>
      <c r="M19" s="9" t="inlineStr">
        <is>
          <t>https://promanmt.com.br/</t>
        </is>
      </c>
    </row>
    <row r="20" ht="92" customHeight="1">
      <c r="A20" s="12" t="inlineStr">
        <is>
          <t>GEB CB</t>
        </is>
      </c>
      <c r="B20" s="13" t="inlineStr">
        <is>
          <t>Grupo Energía Bogotá S.A. E.S.P. (GEB; formerly Empresa de Energía de Bogotá S.A. E.S.P., renamed October 2017)</t>
        </is>
      </c>
      <c r="C20" s="13" t="inlineStr">
        <is>
          <t>Colombia — incorporated in Colombia as an 'empresa de servicios públicos' (S.A. E.S.P.); headquarters in Bogotá, D.C. Largest shareholder is the Bogotá Mayor's Office (Distrito Capital) with ~66%.</t>
        </is>
      </c>
      <c r="D20" s="14" t="inlineStr">
        <is>
          <t>https://www.grupoenergiabogota.com/en/geb-group</t>
        </is>
      </c>
      <c r="E20" s="13" t="inlineStr">
        <is>
          <t>Official corporate site (GEB Group / Home pages) describes GEB as a Colombian energy holding listed on the Bolsa de Valores de Colombia with HQ in Bogotá. Domicile/ownership corroborated by the Bogotá city government entity page (bogota.gov.co/servicios/entidad/grupo-energia-bogota-sa-esp) and third-party profiles. NOTE: could NOT be independently re-fetched in this run — the GEB site, bogota.gov.co and stockanalysis.com all returned HTTP 403 at the proxy CONNECT layer (organization egress-policy denial). The Colombian domicile, Bogotá HQ and ~66% Distrito Capital ownership are consistent with the analyst's knowledge base and are not disputed, but were not re-confirmed against a live official page in this run.</t>
        </is>
      </c>
      <c r="F20" s="13" t="inlineStr">
        <is>
          <t>N/A (holding/transmission/gas company — GEB owns and operates essentially NO electricity generation directly; its only material generation exposure is a 42.515% non-controlling equity stake in the associate Enel Colombia S.A. E.S.P., accounted for by the equity method — see notes)</t>
        </is>
      </c>
      <c r="G20" s="15" t="inlineStr">
        <is>
          <t>FY2024</t>
        </is>
      </c>
      <c r="H20" s="16" t="inlineStr">
        <is>
          <t>High</t>
        </is>
      </c>
      <c r="I20" s="14" t="inlineStr">
        <is>
          <t>https://www.grupoenergiabogota.com/en/geb-group</t>
        </is>
      </c>
      <c r="J20" s="13" t="inlineStr">
        <is>
          <t>GEB is described as an owner/operator of electricity TRANSMISSION networks (~13,700 km) and natural-gas TRANSPORT/DISTRIBUTION (~4,400 km of pipelines) across Colombia, Peru, Brazil and Guatemala; generation and electricity distribution are participated in only through the Enel Colombia associate. No directly-owned/operated generation capacity is disclosed. NOTE: the GEB source page returned HTTP 403 (egress-policy denial) and could not be re-fetched live in this run; the 'N/A — no directly owned generation' conclusion is consistent with GEB's well-documented transmission/gas business model.</t>
        </is>
      </c>
      <c r="K20" s="16" t="n">
        <v>0</v>
      </c>
      <c r="L20" s="16" t="n">
        <v>0</v>
      </c>
      <c r="M20" s="14" t="inlineStr">
        <is>
          <t>https://www.grupoenergiabogota.com/en</t>
        </is>
      </c>
    </row>
  </sheetData>
  <mergeCells count="1">
    <mergeCell ref="A1:M1"/>
  </mergeCells>
  <hyperlinks>
    <hyperlink xmlns:r="http://schemas.openxmlformats.org/officeDocument/2006/relationships" ref="D3" r:id="rId1"/>
    <hyperlink xmlns:r="http://schemas.openxmlformats.org/officeDocument/2006/relationships" ref="I3" r:id="rId2"/>
    <hyperlink xmlns:r="http://schemas.openxmlformats.org/officeDocument/2006/relationships" ref="M3" r:id="rId3"/>
    <hyperlink xmlns:r="http://schemas.openxmlformats.org/officeDocument/2006/relationships" ref="D4" r:id="rId4"/>
    <hyperlink xmlns:r="http://schemas.openxmlformats.org/officeDocument/2006/relationships" ref="I4" r:id="rId5"/>
    <hyperlink xmlns:r="http://schemas.openxmlformats.org/officeDocument/2006/relationships" ref="M4" r:id="rId6"/>
    <hyperlink xmlns:r="http://schemas.openxmlformats.org/officeDocument/2006/relationships" ref="D5" r:id="rId7"/>
    <hyperlink xmlns:r="http://schemas.openxmlformats.org/officeDocument/2006/relationships" ref="I5" r:id="rId8"/>
    <hyperlink xmlns:r="http://schemas.openxmlformats.org/officeDocument/2006/relationships" ref="M5" r:id="rId9"/>
    <hyperlink xmlns:r="http://schemas.openxmlformats.org/officeDocument/2006/relationships" ref="D6" r:id="rId10"/>
    <hyperlink xmlns:r="http://schemas.openxmlformats.org/officeDocument/2006/relationships" ref="I6" r:id="rId11"/>
    <hyperlink xmlns:r="http://schemas.openxmlformats.org/officeDocument/2006/relationships" ref="M6" r:id="rId12"/>
    <hyperlink xmlns:r="http://schemas.openxmlformats.org/officeDocument/2006/relationships" ref="D7" r:id="rId13"/>
    <hyperlink xmlns:r="http://schemas.openxmlformats.org/officeDocument/2006/relationships" ref="I7" r:id="rId14"/>
    <hyperlink xmlns:r="http://schemas.openxmlformats.org/officeDocument/2006/relationships" ref="M7" r:id="rId15"/>
    <hyperlink xmlns:r="http://schemas.openxmlformats.org/officeDocument/2006/relationships" ref="D8" r:id="rId16"/>
    <hyperlink xmlns:r="http://schemas.openxmlformats.org/officeDocument/2006/relationships" ref="I8" r:id="rId17"/>
    <hyperlink xmlns:r="http://schemas.openxmlformats.org/officeDocument/2006/relationships" ref="M8" r:id="rId18"/>
    <hyperlink xmlns:r="http://schemas.openxmlformats.org/officeDocument/2006/relationships" ref="D9" r:id="rId19"/>
    <hyperlink xmlns:r="http://schemas.openxmlformats.org/officeDocument/2006/relationships" ref="I9" r:id="rId20"/>
    <hyperlink xmlns:r="http://schemas.openxmlformats.org/officeDocument/2006/relationships" ref="M9" r:id="rId21"/>
    <hyperlink xmlns:r="http://schemas.openxmlformats.org/officeDocument/2006/relationships" ref="D10" r:id="rId22"/>
    <hyperlink xmlns:r="http://schemas.openxmlformats.org/officeDocument/2006/relationships" ref="I10" r:id="rId23"/>
    <hyperlink xmlns:r="http://schemas.openxmlformats.org/officeDocument/2006/relationships" ref="M10" r:id="rId24"/>
    <hyperlink xmlns:r="http://schemas.openxmlformats.org/officeDocument/2006/relationships" ref="D11" r:id="rId25"/>
    <hyperlink xmlns:r="http://schemas.openxmlformats.org/officeDocument/2006/relationships" ref="I11" r:id="rId26"/>
    <hyperlink xmlns:r="http://schemas.openxmlformats.org/officeDocument/2006/relationships" ref="M11" r:id="rId27"/>
    <hyperlink xmlns:r="http://schemas.openxmlformats.org/officeDocument/2006/relationships" ref="D12" r:id="rId28"/>
    <hyperlink xmlns:r="http://schemas.openxmlformats.org/officeDocument/2006/relationships" ref="I12" r:id="rId29"/>
    <hyperlink xmlns:r="http://schemas.openxmlformats.org/officeDocument/2006/relationships" ref="M12" r:id="rId30"/>
    <hyperlink xmlns:r="http://schemas.openxmlformats.org/officeDocument/2006/relationships" ref="D13" r:id="rId31"/>
    <hyperlink xmlns:r="http://schemas.openxmlformats.org/officeDocument/2006/relationships" ref="I13" r:id="rId32"/>
    <hyperlink xmlns:r="http://schemas.openxmlformats.org/officeDocument/2006/relationships" ref="M13" r:id="rId33"/>
    <hyperlink xmlns:r="http://schemas.openxmlformats.org/officeDocument/2006/relationships" ref="D14" r:id="rId34"/>
    <hyperlink xmlns:r="http://schemas.openxmlformats.org/officeDocument/2006/relationships" ref="I14" r:id="rId35"/>
    <hyperlink xmlns:r="http://schemas.openxmlformats.org/officeDocument/2006/relationships" ref="M14" r:id="rId36"/>
    <hyperlink xmlns:r="http://schemas.openxmlformats.org/officeDocument/2006/relationships" ref="D15" r:id="rId37"/>
    <hyperlink xmlns:r="http://schemas.openxmlformats.org/officeDocument/2006/relationships" ref="I15" r:id="rId38"/>
    <hyperlink xmlns:r="http://schemas.openxmlformats.org/officeDocument/2006/relationships" ref="M15" r:id="rId39"/>
    <hyperlink xmlns:r="http://schemas.openxmlformats.org/officeDocument/2006/relationships" ref="D16" r:id="rId40"/>
    <hyperlink xmlns:r="http://schemas.openxmlformats.org/officeDocument/2006/relationships" ref="I16" r:id="rId41"/>
    <hyperlink xmlns:r="http://schemas.openxmlformats.org/officeDocument/2006/relationships" ref="M16" r:id="rId42"/>
    <hyperlink xmlns:r="http://schemas.openxmlformats.org/officeDocument/2006/relationships" ref="D17" r:id="rId43"/>
    <hyperlink xmlns:r="http://schemas.openxmlformats.org/officeDocument/2006/relationships" ref="I17" r:id="rId44"/>
    <hyperlink xmlns:r="http://schemas.openxmlformats.org/officeDocument/2006/relationships" ref="M17" r:id="rId45"/>
    <hyperlink xmlns:r="http://schemas.openxmlformats.org/officeDocument/2006/relationships" ref="D18" r:id="rId46"/>
    <hyperlink xmlns:r="http://schemas.openxmlformats.org/officeDocument/2006/relationships" ref="I18" r:id="rId47"/>
    <hyperlink xmlns:r="http://schemas.openxmlformats.org/officeDocument/2006/relationships" ref="D19" r:id="rId48"/>
    <hyperlink xmlns:r="http://schemas.openxmlformats.org/officeDocument/2006/relationships" ref="I19" r:id="rId49"/>
    <hyperlink xmlns:r="http://schemas.openxmlformats.org/officeDocument/2006/relationships" ref="M19" r:id="rId50"/>
    <hyperlink xmlns:r="http://schemas.openxmlformats.org/officeDocument/2006/relationships" ref="D20" r:id="rId51"/>
    <hyperlink xmlns:r="http://schemas.openxmlformats.org/officeDocument/2006/relationships" ref="I20" r:id="rId52"/>
    <hyperlink xmlns:r="http://schemas.openxmlformats.org/officeDocument/2006/relationships" ref="M20" r:id="rId5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26" customWidth="1" min="3" max="3"/>
    <col width="24" customWidth="1" min="4" max="4"/>
    <col width="11" customWidth="1" min="5" max="5"/>
    <col width="40" customWidth="1" min="6" max="6"/>
    <col width="52" customWidth="1" min="7" max="7"/>
  </cols>
  <sheetData>
    <row r="1" ht="24" customHeight="1">
      <c r="A1" s="5" t="inlineStr">
        <is>
          <t>Installed Generation Capacity Mix — one row per technology per company</t>
        </is>
      </c>
    </row>
    <row r="2" ht="30" customHeight="1">
      <c r="A2" s="6" t="inlineStr">
        <is>
          <t>Ticker</t>
        </is>
      </c>
      <c r="B2" s="6" t="inlineStr">
        <is>
          <t>Company</t>
        </is>
      </c>
      <c r="C2" s="6" t="inlineStr">
        <is>
          <t>Technology</t>
        </is>
      </c>
      <c r="D2" s="6" t="inlineStr">
        <is>
          <t>Capacity (MW)</t>
        </is>
      </c>
      <c r="E2" s="6" t="inlineStr">
        <is>
          <t>% of Total</t>
        </is>
      </c>
      <c r="F2" s="6" t="inlineStr">
        <is>
          <t>Source</t>
        </is>
      </c>
      <c r="G2" s="6" t="inlineStr">
        <is>
          <t>Source detail</t>
        </is>
      </c>
    </row>
    <row r="3" ht="56" customHeight="1">
      <c r="A3" s="7" t="inlineStr">
        <is>
          <t>AXIA3 BZ</t>
        </is>
      </c>
      <c r="B3" s="8" t="inlineStr">
        <is>
          <t>Centrais Elétricas Brasileiras S.A. – AX</t>
        </is>
      </c>
      <c r="C3" s="8" t="inlineStr">
        <is>
          <t>Hydro</t>
        </is>
      </c>
      <c r="D3" s="8" t="inlineStr">
        <is>
          <t>approx. 43,100 MW (about 43.1 GW) across 47 hydroelectric plants</t>
        </is>
      </c>
      <c r="E3" s="10" t="inlineStr">
        <is>
          <t>98%</t>
        </is>
      </c>
      <c r="F3" s="9" t="inlineStr">
        <is>
          <t>https://brazilstockguide.com/insights/axia-energia-4q25-results/</t>
        </is>
      </c>
      <c r="G3" s="8" t="inlineStr">
        <is>
          <t>Company 4Q25 results/fact sheet: portfolio of 81 plants = 47 hydro + 33 wind + 1 solar, with ~43.1 GW hydro and ~0.8 GW wind+solar totaling 43,872 MW. Hydro MW is derived/approximate (total 43,872 MW minus ~0.8 GW wind+solar ≈ 43.1 GW); exact hydro-only MW is not separately isolated in accessible text. Verified via search-indexed official 4Q25 disclosure; direct fetch of axia.com.br/mziq blocked (HTTP 403, egress policy). Confidence medium on the exact MW.</t>
        </is>
      </c>
    </row>
    <row r="4" ht="56" customHeight="1">
      <c r="A4" s="7" t="inlineStr">
        <is>
          <t>AXIA3 BZ</t>
        </is>
      </c>
      <c r="B4" s="8" t="inlineStr">
        <is>
          <t>Centrais Elétricas Brasileiras S.A. – AX</t>
        </is>
      </c>
      <c r="C4" s="8" t="inlineStr">
        <is>
          <t>Wind &amp; Solar (combined)</t>
        </is>
      </c>
      <c r="D4" s="8" t="inlineStr">
        <is>
          <t>approx. 800 MW (about 0.8 GW); 33 wind farms + 1 solar plant</t>
        </is>
      </c>
      <c r="E4" s="10" t="inlineStr">
        <is>
          <t>2%</t>
        </is>
      </c>
      <c r="F4" s="9" t="inlineStr">
        <is>
          <t>https://www.stocktitan.net/sec-filings/AXIA/6-k-brazilian-electric-power-co-current-report-foreign-issuer-981b697daec3.html</t>
        </is>
      </c>
      <c r="G4" s="8" t="inlineStr">
        <is>
          <t>Company 4Q25 results/fact sheet: '~43.1 GW hydroelectric and ~0.8 GW wind and solar.' 2025 wind additions include the Coxilha Negra wind complex (~302 MW) plus the Colíder hydro acquisition. The company does not cleanly split wind vs solar MW in accessible text (solar is a single small plant). Verified via search-indexed official 4Q25 disclosure; direct fetch blocked (HTTP 403). Confidence medium.</t>
        </is>
      </c>
    </row>
    <row r="5" ht="56" customHeight="1">
      <c r="A5" s="12" t="inlineStr">
        <is>
          <t>ENEV3 BZ</t>
        </is>
      </c>
      <c r="B5" s="13" t="inlineStr">
        <is>
          <t>Eneva S.A.</t>
        </is>
      </c>
      <c r="C5" s="13" t="inlineStr">
        <is>
          <t>Natural gas (thermal) - aggregate</t>
        </is>
      </c>
      <c r="D5" s="13" t="inlineStr">
        <is>
          <t>~5,775 MW (derived / approximate: 6.5 GW thermal minus ~725 MW coal)</t>
        </is>
      </c>
      <c r="E5" s="15" t="inlineStr">
        <is>
          <t>~80%</t>
        </is>
      </c>
      <c r="F5" s="14" t="inlineStr">
        <is>
          <t>https://www.eneva.com.br/en/our-operations/power-generation/</t>
        </is>
      </c>
      <c r="G5" s="13" t="inlineStr">
        <is>
          <t>DERIVED estimate, clearly labeled. Eneva states 6.5 GW total thermal; subtracting the two coal plants (Itaqui 360 MW + Pecem II 365 MW = 725 MW) leaves ~5,775 MW of natural-gas thermal. Eneva does not publish a single consolidated 'gas MW' line in available snippets, and the primary capacity table could not be fetched directly (egress blocked). Composed of the named gas plants below; sum of plant-level figures approximates but may not equal the headline due to rounding, units under construction, and decommissioned units (e.g. Fortaleza/Termofort 327 MW, shut down Dec 2023, excluded).</t>
        </is>
      </c>
    </row>
    <row r="6" ht="56" customHeight="1">
      <c r="A6" s="12" t="inlineStr">
        <is>
          <t>ENEV3 BZ</t>
        </is>
      </c>
      <c r="B6" s="13" t="inlineStr">
        <is>
          <t>Eneva S.A.</t>
        </is>
      </c>
      <c r="C6" s="13" t="inlineStr">
        <is>
          <t>Natural gas - Parnaiba Thermal Complex (Santo Antonio dos Lopes, Maranhao)</t>
        </is>
      </c>
      <c r="D6" s="13" t="inlineStr">
        <is>
          <t>~1,900 MW installed (~1,800 MW in operation); units include Parnaiba I ~676, II ~519, III ~178, plus IV/V/VI</t>
        </is>
      </c>
      <c r="E6" s="15" t="inlineStr">
        <is>
          <t>~26%</t>
        </is>
      </c>
      <c r="F6" s="14" t="inlineStr">
        <is>
          <t>https://www.eneva.com.br/en/our-operations/power-generation/</t>
        </is>
      </c>
      <c r="G6" s="13" t="inlineStr">
        <is>
          <t>Eneva official Power Generation page states the Parnaiba Complex has 1.9 GW installed of which 1.8 GW is in operation (one of Latin America's largest gas parks) - wording confirmed verbatim in search results of the official page. Unit-level MW (Parnaiba I 676, II 519, III 178) cross-referenced from XP equity research (third-party) and Wikipedia/Global Energy Monitor. Confirmed via search snippets; primary table not directly fetched (egress blocked).</t>
        </is>
      </c>
    </row>
    <row r="7" ht="56" customHeight="1">
      <c r="A7" s="12" t="inlineStr">
        <is>
          <t>ENEV3 BZ</t>
        </is>
      </c>
      <c r="B7" s="13" t="inlineStr">
        <is>
          <t>Eneva S.A.</t>
        </is>
      </c>
      <c r="C7" s="13" t="inlineStr">
        <is>
          <t>Natural gas - Porto de Sergipe I (Barra dos Coqueiros, Sergipe) combined-cycle + FSRU</t>
        </is>
      </c>
      <c r="D7" s="13" t="inlineStr">
        <is>
          <t>1,593 MW</t>
        </is>
      </c>
      <c r="E7" s="15" t="inlineStr">
        <is>
          <t>~22%</t>
        </is>
      </c>
      <c r="F7" s="14" t="inlineStr">
        <is>
          <t>https://www.gem.wiki/Porto_de_Sergipe_power_station</t>
        </is>
      </c>
      <c r="G7" s="13" t="inlineStr">
        <is>
          <t>1,593 MW combined-cycle gas plant confirmed by Global Energy Monitor and power-technology.com power-plant profile (both third-party); Enerdata reports Eneva's 2022 takeover of the ~1.6 GW plant. Eneva official pages describe the Sergipe Hub as a ~1.6 GW combined-cycle plant (Porto de Sergipe I, 1,593 MW) plus an FSRU (up to 21 million m3/day), acquired from Golar/Ebrasil. 1,593 MW figure confirmed across multiple sources; official page not directly fetchable (egress blocked).</t>
        </is>
      </c>
    </row>
    <row r="8" ht="56" customHeight="1">
      <c r="A8" s="12" t="inlineStr">
        <is>
          <t>ENEV3 BZ</t>
        </is>
      </c>
      <c r="B8" s="13" t="inlineStr">
        <is>
          <t>Eneva S.A.</t>
        </is>
      </c>
      <c r="C8" s="13" t="inlineStr">
        <is>
          <t>Natural gas - Jaguatirica II (Boa Vista, Roraima)</t>
        </is>
      </c>
      <c r="D8" s="13" t="inlineStr">
        <is>
          <t>~126 MW (some sources cite ~141 MW gross)</t>
        </is>
      </c>
      <c r="E8" s="15" t="inlineStr">
        <is>
          <t>~2%</t>
        </is>
      </c>
      <c r="F8" s="14" t="inlineStr">
        <is>
          <t>https://eneva.com.br/jaguatirica-ii/</t>
        </is>
      </c>
      <c r="G8" s="13" t="inlineStr">
        <is>
          <t>Jaguatirica II ~126 MW gas plant fed by Azulao gas (Amazonas) via LNG logistics, located in Boa Vista, Roraima; commercial operation authorized by ANEEL. 126 MW is the figure cited by more recent official sources; some third-party sources cite ~141 MW gross. Confirmed via search snippets of Eneva and third-party sources; page not directly fetched (egress blocked).</t>
        </is>
      </c>
    </row>
    <row r="9" ht="56" customHeight="1">
      <c r="A9" s="12" t="inlineStr">
        <is>
          <t>ENEV3 BZ</t>
        </is>
      </c>
      <c r="B9" s="13" t="inlineStr">
        <is>
          <t>Eneva S.A.</t>
        </is>
      </c>
      <c r="C9" s="13" t="inlineStr">
        <is>
          <t>Natural gas - assets acquired from BTG Pactual (July 2024, Espirito Santo): Viana, Viana I, Povoacao I, plus diesel unit Luiz Oscar Rodrigues de Melo</t>
        </is>
      </c>
      <c r="D9" s="13" t="inlineStr">
        <is>
          <t>~527 MW total across four assets (Viana 174.6, Viana I 37.48, Povoacao I 74.96 [gas ~287 MW], plus Luiz Oscar Rodrigues de Melo ~240 MW, diesel-fired)</t>
        </is>
      </c>
      <c r="E9" s="15" t="inlineStr">
        <is>
          <t>~7%</t>
        </is>
      </c>
      <c r="F9" s="14" t="inlineStr">
        <is>
          <t>https://www.marketscreener.com/quote/stock/BANCO-BTG-PACTUAL-S-A-34041823/news/Eneva-S-A-agreed-to-acquire-Four-thermoelectric-assets-of-BTG-Pactual-47447603/</t>
        </is>
      </c>
      <c r="G9" s="13" t="inlineStr">
        <is>
          <t>CORRECTED/CLARIFIED: In July 2024 Eneva agreed to acquire FOUR thermoelectric assets from BTG Pactual for ~R$2.9 billion - three gas-fired stations (Viana 174.6 MW, Viana I 37.48 MW, Povoacao I 74.96 MW) and one diesel-fired unit (Luiz Oscar Rodrigues de Melo ~240 MW), all in Espirito Santo, together representing ~10% of Eneva's thermal capacity and ~527 MW. The draft's '~352 MW natural gas' understates the total; gas-only portion is ~287 MW and the 240 MW Luiz Oscar unit is diesel, not gas. Confirmed via MarketScreener, LatinFinance and Latin Lawyer (third-party). Deal value R$2.9bn.</t>
        </is>
      </c>
    </row>
    <row r="10" ht="56" customHeight="1">
      <c r="A10" s="12" t="inlineStr">
        <is>
          <t>ENEV3 BZ</t>
        </is>
      </c>
      <c r="B10" s="13" t="inlineStr">
        <is>
          <t>Eneva S.A.</t>
        </is>
      </c>
      <c r="C10" s="13" t="inlineStr">
        <is>
          <t>Coal (thermal) - UTE Itaqui (Sao Luis, Maranhao)</t>
        </is>
      </c>
      <c r="D10" s="13" t="inlineStr">
        <is>
          <t>360 MW</t>
        </is>
      </c>
      <c r="E10" s="15" t="inlineStr">
        <is>
          <t>~5%</t>
        </is>
      </c>
      <c r="F10" s="14" t="inlineStr">
        <is>
          <t>https://www.gem.wiki/Itaqui_power_station</t>
        </is>
      </c>
      <c r="G10" s="13" t="inlineStr">
        <is>
          <t>Itaqui 360 MW coal plant using imported mineral coal, near the Port of Itaqui, Maranhao. Confirmed by Global Energy Monitor (third-party) and consistent with Eneva official pages. Confirmed via search snippet.</t>
        </is>
      </c>
    </row>
    <row r="11" ht="56" customHeight="1">
      <c r="A11" s="12" t="inlineStr">
        <is>
          <t>ENEV3 BZ</t>
        </is>
      </c>
      <c r="B11" s="13" t="inlineStr">
        <is>
          <t>Eneva S.A.</t>
        </is>
      </c>
      <c r="C11" s="13" t="inlineStr">
        <is>
          <t>Coal (thermal) - Pecem II / Porto do Pecem II (Sao Goncalo do Amarante, Ceara)</t>
        </is>
      </c>
      <c r="D11" s="13" t="inlineStr">
        <is>
          <t>365 MW (being divested)</t>
        </is>
      </c>
      <c r="E11" s="15" t="inlineStr">
        <is>
          <t>~5%</t>
        </is>
      </c>
      <c r="F11" s="14" t="inlineStr">
        <is>
          <t>https://www.gem.wiki/Pec%C3%A9m_Energia_II_power_station</t>
        </is>
      </c>
      <c r="G11" s="13" t="inlineStr">
        <is>
          <t>Pecem II ~365 MW coal plant, confirmed by Global Energy Monitor. IMPORTANT: Eneva agreed in March 2026 to sell 100% of Pecem II Geracao de Energia to Diamante Geracao de Energia; once closed, Eneva's coal fleet drops to just Itaqui (360 MW). Divestment confirmed via multiple 2026 search results. Combined Itaqui + Pecem coal is ~725 MW.</t>
        </is>
      </c>
    </row>
    <row r="12" ht="56" customHeight="1">
      <c r="A12" s="12" t="inlineStr">
        <is>
          <t>ENEV3 BZ</t>
        </is>
      </c>
      <c r="B12" s="13" t="inlineStr">
        <is>
          <t>Eneva S.A.</t>
        </is>
      </c>
      <c r="C12" s="13" t="inlineStr">
        <is>
          <t>Solar PV - Futura I Solar Complex (Juazeiro, Bahia)</t>
        </is>
      </c>
      <c r="D12" s="13" t="inlineStr">
        <is>
          <t>837 MWp (DC nameplate) / ~692 MW reported as operating (AC/registered) solar capacity</t>
        </is>
      </c>
      <c r="E12" s="15" t="inlineStr">
        <is>
          <t>~10%</t>
        </is>
      </c>
      <c r="F12" s="14" t="inlineStr">
        <is>
          <t>https://www.eneva.com.br/imprensa/noticias/eneva-da-inicio-a-operacao-de-um-dos-maiores-complexos-solares-das-americas-futura-i-na-bahia/</t>
        </is>
      </c>
      <c r="G12" s="13" t="inlineStr">
        <is>
          <t>Futura I (Juazeiro, Bahia): 837 MWp installed across 22 PV plants, &gt;1.4 million panels on &gt;1,600 ha - one of the largest solar complexes in the Americas. Eneva frames its solar capacity as 692 MW (AC/registered) in the 6.5 GW thermal + 692 MW solar split. Confirmed via Eneva press release, NS Energy and Canal Solar. The 837 MWp vs 692 MW difference is a DC-nameplate-vs-AC discrepancy, not an error. Confirmed via search snippets; pages not directly fetched (egress blocked).</t>
        </is>
      </c>
    </row>
    <row r="13" ht="56" customHeight="1">
      <c r="A13" s="7" t="inlineStr">
        <is>
          <t>EGIE3 BZ</t>
        </is>
      </c>
      <c r="B13" s="8" t="inlineStr">
        <is>
          <t>Engie Brasil Energia S.A.</t>
        </is>
      </c>
      <c r="C13" s="8" t="inlineStr">
        <is>
          <t>Hydro (13 large hydroelectric plants incl. stakes in Jirau, Ita, Machadinho, Salto Santiago, Salto Osorio, Cana Brava, Sao Salvador, plus acquired Jaguara/Miranda)</t>
        </is>
      </c>
      <c r="D13" s="8" t="inlineStr">
        <is>
          <t>~6,985 MW (DERIVED: 62% x 11,265.9 MW own capacity)</t>
        </is>
      </c>
      <c r="E13" s="10" t="inlineStr">
        <is>
          <t>62%</t>
        </is>
      </c>
      <c r="F13" s="9" t="inlineStr">
        <is>
          <t>https://www.engie.com.br/wp-content/uploads/2026/05/Fact-Sheet-1Q26_ENG-1.pdf</t>
        </is>
      </c>
      <c r="G13" s="8" t="inlineStr">
        <is>
          <t>Official 1Q26 Fact Sheet 'Own Installed Capacity' chart: Hydro 62%. CONFIRMED via web-search excerpt of the official PDF ('Hydro 62% Own Installed Capacity Complementary 38%'). The 62% share is official; the MW value is CALCULATED (62% x 11,265.9 MW) - ENGIE reports the hydro/complementary split as a percentage plus plant counts, not a per-source MW in the accessible excerpts. Note the fleet count updated from 11 large hydro (older sheets) to 13 (1Q26) after the Jaguara/Miranda acquisitions.</t>
        </is>
      </c>
    </row>
    <row r="14" ht="56" customHeight="1">
      <c r="A14" s="7" t="inlineStr">
        <is>
          <t>EGIE3 BZ</t>
        </is>
      </c>
      <c r="B14" s="8" t="inlineStr">
        <is>
          <t>Engie Brasil Energia S.A.</t>
        </is>
      </c>
      <c r="C14" s="8" t="inlineStr">
        <is>
          <t>Complementary renewables combined (wind + solar + biomass + SHP)</t>
        </is>
      </c>
      <c r="D14" s="8" t="inlineStr">
        <is>
          <t>~4,281 MW (DERIVED: 38% x 11,265.9 MW own capacity)</t>
        </is>
      </c>
      <c r="E14" s="10" t="inlineStr">
        <is>
          <t>38%</t>
        </is>
      </c>
      <c r="F14" s="9" t="inlineStr">
        <is>
          <t>https://www.engie.com.br/wp-content/uploads/2026/05/Fact-Sheet-1Q26_ENG-1.pdf</t>
        </is>
      </c>
      <c r="G14" s="8" t="inlineStr">
        <is>
          <t>Official 1Q26 Fact Sheet 'Own Installed Capacity': Complementary 38%, comprising 132 complementary plants (88 wind, 41 solar, 2 SHPs, 1 biomass). CONFIRMED via web-search excerpt. Percentage is official; combined MW is CALCULATED (38% x 11,265.9 MW). ENGIE's fact sheets also publish a within-complementary sub-split of ~68.7% / 21.4% / 9.9% (seen verbatim in the 2Q25 and 3Q25 Fact Sheet excerpts) - if applied to ~4,281 MW that implies roughly wind ~2,940 MW / solar ~916 MW / other (biomass+SHP) ~424 MW, but the 1Q26 sub-split was not separately confirmed, so per-technology rows below remain low-confidence.</t>
        </is>
      </c>
    </row>
    <row r="15" ht="56" customHeight="1">
      <c r="A15" s="7" t="inlineStr">
        <is>
          <t>EGIE3 BZ</t>
        </is>
      </c>
      <c r="B15" s="8" t="inlineStr">
        <is>
          <t>Engie Brasil Energia S.A.</t>
        </is>
      </c>
      <c r="C15" s="8" t="inlineStr">
        <is>
          <t>Wind (88 wind farms)</t>
        </is>
      </c>
      <c r="D15" s="8" t="inlineStr">
        <is>
          <t>~2.9 GW implied (DERIVED, low confidence); asset-level confirmed ~1.7 GW+ post-Santo Agostinho plus Serra do Assurua 846 MW</t>
        </is>
      </c>
      <c r="E15" s="10" t="inlineStr"/>
      <c r="F15" s="9" t="inlineStr">
        <is>
          <t>https://www.engie.com.br/en/imprensa/press-releases/engie-surpasses-1-gw-in-wind-power-in-brazil/</t>
        </is>
      </c>
      <c r="G15" s="8" t="inlineStr">
        <is>
          <t>Official press releases: after the Santo Agostinho Wind Complex (434 MW) became fully operational in 2024, ENGIE had 'around 1.7 GW of installed power from wind sources in the country'; Serra do Assurua Wind Complex adds 846 MW. LOW CONFIDENCE as a technology total: the ~1.7 GW is a 2024/asset-level figure and understates the current 88-wind-plant fleet; the complementary sub-split (~68.7% of 38%) implies closer to ~2.9 GW of wind at 1Q26. ENGIE does not publish a single consolidated wind MW in accessible excerpts.</t>
        </is>
      </c>
    </row>
    <row r="16" ht="56" customHeight="1">
      <c r="A16" s="7" t="inlineStr">
        <is>
          <t>EGIE3 BZ</t>
        </is>
      </c>
      <c r="B16" s="8" t="inlineStr">
        <is>
          <t>Engie Brasil Energia S.A.</t>
        </is>
      </c>
      <c r="C16" s="8" t="inlineStr">
        <is>
          <t>Solar PV (41 solar plants)</t>
        </is>
      </c>
      <c r="D16" s="8" t="inlineStr">
        <is>
          <t>~0.9 GW implied (DERIVED, low confidence); largest asset Assu Sol 753 MWac / 895 MWp</t>
        </is>
      </c>
      <c r="E16" s="10" t="inlineStr"/>
      <c r="F16" s="9" t="inlineStr">
        <is>
          <t>https://www.engie.com.br/en/imprensa/press-releases/assu-sol-photovoltaic-complex-engies-largest-solar-energy-asset-worldwide-now-operating-at-full-commercial-capacity/</t>
        </is>
      </c>
      <c r="G16" s="8" t="inlineStr">
        <is>
          <t>Official press release: Assu Sol Photovoltaic Complex (Rio Grande do Norte), ENGIE's largest solar asset worldwide, 895 MWp / 753 MWac, 229.6 average MW, fully earmarked to the Free Market (ACL) - confirmed via search excerpt. This is a single complex, NOT the 41-plant solar fleet total; the complementary sub-split (~21.4% of 38%) implies roughly ~0.9 GW of solar at 1Q26. LOW CONFIDENCE for technology total.</t>
        </is>
      </c>
    </row>
    <row r="17" ht="56" customHeight="1">
      <c r="A17" s="7" t="inlineStr">
        <is>
          <t>EGIE3 BZ</t>
        </is>
      </c>
      <c r="B17" s="8" t="inlineStr">
        <is>
          <t>Engie Brasil Energia S.A.</t>
        </is>
      </c>
      <c r="C17" s="8" t="inlineStr">
        <is>
          <t>Biomass (1 plant)</t>
        </is>
      </c>
      <c r="D17" s="8" t="inlineStr">
        <is>
          <t>Not disclosed at plant level in accessible excerpts (small; within the ~9.9% 'other complementary' bucket alongside SHPs)</t>
        </is>
      </c>
      <c r="E17" s="10" t="inlineStr"/>
      <c r="F17" s="9" t="inlineStr">
        <is>
          <t>https://www.engie.com.br/wp-content/uploads/2026/05/Fact-Sheet-1Q26_ENG-1.pdf</t>
        </is>
      </c>
      <c r="G17" s="8" t="inlineStr">
        <is>
          <t>Official 1Q26 Fact Sheet lists one biomass-fired plant within complementary sources. Individual MW not captured in accessible excerpts; falls within the ~9.9% within-complementary residual (biomass + SHP).</t>
        </is>
      </c>
    </row>
    <row r="18" ht="56" customHeight="1">
      <c r="A18" s="7" t="inlineStr">
        <is>
          <t>EGIE3 BZ</t>
        </is>
      </c>
      <c r="B18" s="8" t="inlineStr">
        <is>
          <t>Engie Brasil Energia S.A.</t>
        </is>
      </c>
      <c r="C18" s="8" t="inlineStr">
        <is>
          <t>Small Hydroelectric Plants (SHPs, 2 plants)</t>
        </is>
      </c>
      <c r="D18" s="8" t="inlineStr">
        <is>
          <t>Not disclosed at plant level in accessible excerpts (small; within the ~9.9% 'other complementary' bucket)</t>
        </is>
      </c>
      <c r="E18" s="10" t="inlineStr"/>
      <c r="F18" s="9" t="inlineStr">
        <is>
          <t>https://www.engie.com.br/wp-content/uploads/2026/05/Fact-Sheet-1Q26_ENG-1.pdf</t>
        </is>
      </c>
      <c r="G18" s="8" t="inlineStr">
        <is>
          <t>Official 1Q26 Fact Sheet lists two Small Hydroelectric Plants within complementary sources. Individual MW not captured in accessible excerpts.</t>
        </is>
      </c>
    </row>
    <row r="19" ht="56" customHeight="1">
      <c r="A19" s="12" t="inlineStr">
        <is>
          <t>ENELGXCH CI</t>
        </is>
      </c>
      <c r="B19" s="13" t="inlineStr">
        <is>
          <t>Enel Generación Chile S.A.</t>
        </is>
      </c>
      <c r="C19" s="13" t="inlineStr">
        <is>
          <t>Hydro</t>
        </is>
      </c>
      <c r="D19" s="13" t="inlineStr">
        <is>
          <t>3,573 MW</t>
        </is>
      </c>
      <c r="E19" s="15" t="inlineStr">
        <is>
          <t>63.6%</t>
        </is>
      </c>
      <c r="F19" s="14" t="inlineStr">
        <is>
          <t>https://www.enel.cl/en/meet-enel/enel-generation-chile.html</t>
        </is>
      </c>
      <c r="G19" s="13" t="inlineStr">
        <is>
          <t>Official Enel 'Enel Generación Chile' page / 2024 Memoria Anual Integrada: '3,573 MW correspond to hydroelectric generation units.' Percent computed as 3,573/5,620. VERIFIED via web-search extraction of the official page (direct fetch blocked by egress policy, HTTP 403).</t>
        </is>
      </c>
    </row>
    <row r="20" ht="56" customHeight="1">
      <c r="A20" s="12" t="inlineStr">
        <is>
          <t>ENELGXCH CI</t>
        </is>
      </c>
      <c r="B20" s="13" t="inlineStr">
        <is>
          <t>Enel Generación Chile S.A.</t>
        </is>
      </c>
      <c r="C20" s="13" t="inlineStr">
        <is>
          <t>Natural gas / Oil-diesel (thermal)</t>
        </is>
      </c>
      <c r="D20" s="13" t="inlineStr">
        <is>
          <t>1,965 MW</t>
        </is>
      </c>
      <c r="E20" s="15" t="inlineStr">
        <is>
          <t>35.0%</t>
        </is>
      </c>
      <c r="F20" s="14" t="inlineStr">
        <is>
          <t>https://www.enel.cl/en/meet-enel/enel-generation-chile.html</t>
        </is>
      </c>
      <c r="G20" s="13" t="inlineStr">
        <is>
          <t>Official Enel 'Enel Generación Chile' page / 2024 Memoria Anual Integrada: '1,965 MW to thermal power plants that operate with gas or oil.' The company aggregates gas and oil/diesel into a single thermal figure; a separate gas-vs-oil MW split was not disclosed on the sources located. Percent computed as 1,965/5,620. VERIFIED via web-search extraction of the official page (direct fetch blocked, HTTP 403).</t>
        </is>
      </c>
    </row>
    <row r="21" ht="56" customHeight="1">
      <c r="A21" s="12" t="inlineStr">
        <is>
          <t>ENELGXCH CI</t>
        </is>
      </c>
      <c r="B21" s="13" t="inlineStr">
        <is>
          <t>Enel Generación Chile S.A.</t>
        </is>
      </c>
      <c r="C21" s="13" t="inlineStr">
        <is>
          <t>Wind</t>
        </is>
      </c>
      <c r="D21" s="13" t="inlineStr">
        <is>
          <t>82 MW</t>
        </is>
      </c>
      <c r="E21" s="15" t="inlineStr">
        <is>
          <t>1.5%</t>
        </is>
      </c>
      <c r="F21" s="14" t="inlineStr">
        <is>
          <t>https://www.enel.cl/en/meet-enel/enel-generation-chile.html</t>
        </is>
      </c>
      <c r="G21" s="13" t="inlineStr">
        <is>
          <t>Official Enel 'Enel Generación Chile' page / 2024 Memoria Anual Integrada: '82 MW to wind generation units.' Percent computed as 82/5,620. VERIFIED via web-search extraction of the official page (direct fetch blocked, HTTP 403). Note: most of the Enel group's Chilean wind/solar sits in a separate subsidiary (Enel Green Power Chile) and is NOT included in this 5,620 MW figure.</t>
        </is>
      </c>
    </row>
    <row r="22" ht="56" customHeight="1">
      <c r="A22" s="7" t="inlineStr">
        <is>
          <t>COLBUN CI</t>
        </is>
      </c>
      <c r="B22" s="8" t="inlineStr">
        <is>
          <t>Colbún S.A.</t>
        </is>
      </c>
      <c r="C22" s="8" t="inlineStr">
        <is>
          <t>Hydro</t>
        </is>
      </c>
      <c r="D22" s="8" t="inlineStr">
        <is>
          <t>1,604 MW (all Chile)</t>
        </is>
      </c>
      <c r="E22" s="10" t="inlineStr">
        <is>
          <t>32%</t>
        </is>
      </c>
      <c r="F22" s="9" t="inlineStr">
        <is>
          <t>https://colbun.cl/docs/default-source/documentos-inversionistas/resultados-trimestrales/2025/1t25/earnings-report-1q25.pdf</t>
        </is>
      </c>
      <c r="G22" s="8" t="inlineStr">
        <is>
          <t>Colbún 1Q25 Earnings Report, installed-capacity by-source table (renewable section). Official. % recomputed vs 5,023 MW total (1,604/5,023 = 31.9% -&gt; 32%). NOT re-fetched this pass (colbun.cl HTTP 403); value retained from draft and arithmetically verified against the stated total.</t>
        </is>
      </c>
    </row>
    <row r="23" ht="56" customHeight="1">
      <c r="A23" s="7" t="inlineStr">
        <is>
          <t>COLBUN CI</t>
        </is>
      </c>
      <c r="B23" s="8" t="inlineStr">
        <is>
          <t>Colbún S.A.</t>
        </is>
      </c>
      <c r="C23" s="8" t="inlineStr">
        <is>
          <t>Wind</t>
        </is>
      </c>
      <c r="D23" s="8" t="inlineStr">
        <is>
          <t>1,055 MW (all Chile)</t>
        </is>
      </c>
      <c r="E23" s="10" t="inlineStr">
        <is>
          <t>21%</t>
        </is>
      </c>
      <c r="F23" s="9" t="inlineStr">
        <is>
          <t>https://colbun.cl/docs/default-source/documentos-inversionistas/resultados-trimestrales/2025/1t25/earnings-report-1q25.pdf</t>
        </is>
      </c>
      <c r="G23" s="8" t="inlineStr">
        <is>
          <t>Colbún 1Q25 Earnings Report installed-capacity table; includes the 816 MW Horizonte wind farm (Taltal), which reached full commercial operation Sept 2025. Official. % recomputed vs 5,023 MW (1,055/5,023 = 21.0%). NOT re-fetched this pass (colbun.cl HTTP 403); retained from draft, arithmetic verified.</t>
        </is>
      </c>
    </row>
    <row r="24" ht="56" customHeight="1">
      <c r="A24" s="7" t="inlineStr">
        <is>
          <t>COLBUN CI</t>
        </is>
      </c>
      <c r="B24" s="8" t="inlineStr">
        <is>
          <t>Colbún S.A.</t>
        </is>
      </c>
      <c r="C24" s="8" t="inlineStr">
        <is>
          <t>Solar PV</t>
        </is>
      </c>
      <c r="D24" s="8" t="inlineStr">
        <is>
          <t>230 MW (Chile; Diego de Almagro Sur)</t>
        </is>
      </c>
      <c r="E24" s="10" t="inlineStr">
        <is>
          <t>5%</t>
        </is>
      </c>
      <c r="F24" s="9" t="inlineStr">
        <is>
          <t>https://colbun.cl/docs/default-source/documentos-inversionistas/resultados-trimestrales/2025/1t25/earnings-report-1q25.pdf</t>
        </is>
      </c>
      <c r="G24" s="8" t="inlineStr">
        <is>
          <t>Colbún 1Q25 Earnings Report installed-capacity table (renewable section). Official. % recomputed vs 5,023 MW (230/5,023 = 4.6% -&gt; 5%). NOT re-fetched this pass (colbun.cl HTTP 403); retained from draft. See data_notes re. Sol del Desierto (unresolved).</t>
        </is>
      </c>
    </row>
    <row r="25" ht="56" customHeight="1">
      <c r="A25" s="7" t="inlineStr">
        <is>
          <t>COLBUN CI</t>
        </is>
      </c>
      <c r="B25" s="8" t="inlineStr">
        <is>
          <t>Colbún S.A.</t>
        </is>
      </c>
      <c r="C25" s="8" t="inlineStr">
        <is>
          <t>Natural gas / LNG</t>
        </is>
      </c>
      <c r="D25" s="8" t="inlineStr">
        <is>
          <t>1,676 MW (1,104 MW Chile + 572 MW Peru)</t>
        </is>
      </c>
      <c r="E25" s="10" t="inlineStr">
        <is>
          <t>33%</t>
        </is>
      </c>
      <c r="F25" s="9" t="inlineStr">
        <is>
          <t>https://colbun.cl/docs/default-source/documentos-inversionistas/resultados-trimestrales/2025/1t25/earnings-report-1q25.pdf</t>
        </is>
      </c>
      <c r="G25" s="8" t="inlineStr">
        <is>
          <t>Colbún 1Q25 Earnings Report installed-capacity table (thermal section). Peru portion = Fenix Power combined-cycle plant (~572-573 MW, gas w/ diesel backup). Official. % recomputed vs 5,023 MW (1,676/5,023 = 33.4% -&gt; 33%). NOT re-fetched this pass (colbun.cl HTTP 403); retained from draft, arithmetic verified.</t>
        </is>
      </c>
    </row>
    <row r="26" ht="56" customHeight="1">
      <c r="A26" s="7" t="inlineStr">
        <is>
          <t>COLBUN CI</t>
        </is>
      </c>
      <c r="B26" s="8" t="inlineStr">
        <is>
          <t>Colbún S.A.</t>
        </is>
      </c>
      <c r="C26" s="8" t="inlineStr">
        <is>
          <t>Coal</t>
        </is>
      </c>
      <c r="D26" s="8" t="inlineStr">
        <is>
          <t>350 MW (Chile; Santa María, Coronel)</t>
        </is>
      </c>
      <c r="E26" s="10" t="inlineStr">
        <is>
          <t>7%</t>
        </is>
      </c>
      <c r="F26" s="9" t="inlineStr">
        <is>
          <t>https://colbun.cl/docs/default-source/documentos-inversionistas/resultados-trimestrales/2025/1t25/earnings-report-1q25.pdf</t>
        </is>
      </c>
      <c r="G26" s="8" t="inlineStr">
        <is>
          <t>Colbún 1Q25 Earnings Report installed-capacity table (thermal section). Official. % recomputed vs 5,023 MW (350/5,023 = 7.0%). Draft notes ~379 MW reported in 4Q25. NOT re-fetched this pass (colbun.cl HTTP 403); retained from draft.</t>
        </is>
      </c>
    </row>
    <row r="27" ht="56" customHeight="1">
      <c r="A27" s="7" t="inlineStr">
        <is>
          <t>COLBUN CI</t>
        </is>
      </c>
      <c r="B27" s="8" t="inlineStr">
        <is>
          <t>Colbún S.A.</t>
        </is>
      </c>
      <c r="C27" s="8" t="inlineStr">
        <is>
          <t>Oil / Diesel</t>
        </is>
      </c>
      <c r="D27" s="8" t="inlineStr">
        <is>
          <t>108 MW (Chile)</t>
        </is>
      </c>
      <c r="E27" s="10" t="inlineStr">
        <is>
          <t>2%</t>
        </is>
      </c>
      <c r="F27" s="9" t="inlineStr">
        <is>
          <t>https://colbun.cl/docs/default-source/documentos-inversionistas/resultados-trimestrales/2025/1t25/earnings-report-1q25.pdf</t>
        </is>
      </c>
      <c r="G27" s="8" t="inlineStr">
        <is>
          <t>Colbún 1Q25 Earnings Report installed-capacity table (thermal section). Official. % recomputed vs 5,023 MW (108/5,023 = 2.1%). NOT re-fetched this pass (colbun.cl HTTP 403); retained from draft.</t>
        </is>
      </c>
    </row>
    <row r="28" ht="56" customHeight="1">
      <c r="A28" s="7" t="inlineStr">
        <is>
          <t>COLBUN CI</t>
        </is>
      </c>
      <c r="B28" s="8" t="inlineStr">
        <is>
          <t>Colbún S.A.</t>
        </is>
      </c>
      <c r="C28" s="8" t="inlineStr">
        <is>
          <t>Battery storage (BESS)</t>
        </is>
      </c>
      <c r="D28" s="8" t="inlineStr">
        <is>
          <t>8 MW / 32 MWh (Chile; Diego de Almagro Sur) — storage, not generation</t>
        </is>
      </c>
      <c r="E28" s="10" t="inlineStr"/>
      <c r="F28" s="9" t="inlineStr">
        <is>
          <t>https://colbun.cl/docs/default-source/documentos-inversionistas/resultados-trimestrales/2025/1t25/earnings-report-1q25.pdf</t>
        </is>
      </c>
      <c r="G28" s="8" t="inlineStr">
        <is>
          <t>Colbún 1Q25 Earnings Report; storage capacity reported separately from generation. Official. Excluded from generation total (does not count toward the 5,023 MW). Larger BESS projects (Chaca; Diego de Almagro Sur ~1.7 GWh) were under construction as of 2025-2026. NOT re-fetched this pass (colbun.cl HTTP 403); retained from draft.</t>
        </is>
      </c>
    </row>
    <row r="29" ht="56" customHeight="1">
      <c r="A29" s="12" t="inlineStr">
        <is>
          <t>AURE3 BZ</t>
        </is>
      </c>
      <c r="B29" s="13" t="inlineStr">
        <is>
          <t>Auren Energia S.A.</t>
        </is>
      </c>
      <c r="C29" s="13" t="inlineStr">
        <is>
          <t>Hydro (hidrelétrica)</t>
        </is>
      </c>
      <c r="D29" s="13" t="inlineStr">
        <is>
          <t>4,746 MW</t>
        </is>
      </c>
      <c r="E29" s="15" t="inlineStr">
        <is>
          <t>54%</t>
        </is>
      </c>
      <c r="F29" s="14" t="inlineStr">
        <is>
          <t>https://api.mziq.com/mzfilemanager/v2/d/691c9da5-45e0-458f-a3da-41982b1730fc/997c8334-33a8-b100-0185-f104f94c16dd?origin=1</t>
        </is>
      </c>
      <c r="G29" s="13" t="inlineStr">
        <is>
          <t>Official 'Release de Resultados 3T25': hydro 4,746 MW of 8,800 MW = 53.9% (rounds to 54%). Offline arithmetic check passes. NOT RE-VERIFIED: source returned HTTP 403 policy denial this pass; figure carried from draft (which read it from indexed release text).</t>
        </is>
      </c>
    </row>
    <row r="30" ht="56" customHeight="1">
      <c r="A30" s="12" t="inlineStr">
        <is>
          <t>AURE3 BZ</t>
        </is>
      </c>
      <c r="B30" s="13" t="inlineStr">
        <is>
          <t>Auren Energia S.A.</t>
        </is>
      </c>
      <c r="C30" s="13" t="inlineStr">
        <is>
          <t>Wind (eólica)</t>
        </is>
      </c>
      <c r="D30" s="13" t="inlineStr">
        <is>
          <t>3,178 MW</t>
        </is>
      </c>
      <c r="E30" s="15" t="inlineStr">
        <is>
          <t>36%</t>
        </is>
      </c>
      <c r="F30" s="14" t="inlineStr">
        <is>
          <t>https://api.mziq.com/mzfilemanager/v2/d/691c9da5-45e0-458f-a3da-41982b1730fc/997c8334-33a8-b100-0185-f104f94c16dd?origin=1</t>
        </is>
      </c>
      <c r="G30" s="13" t="inlineStr">
        <is>
          <t>Official 'Release de Resultados 3T25': wind 3,178 MW of 8,800 MW = 36.1% (rounds to 36%). Wind fleet expanded materially via the AES Brasil acquisition (Tucano, Cajuína complexes). Offline arithmetic check passes. NOT RE-VERIFIED: source returned HTTP 403 policy denial this pass.</t>
        </is>
      </c>
    </row>
    <row r="31" ht="56" customHeight="1">
      <c r="A31" s="12" t="inlineStr">
        <is>
          <t>AURE3 BZ</t>
        </is>
      </c>
      <c r="B31" s="13" t="inlineStr">
        <is>
          <t>Auren Energia S.A.</t>
        </is>
      </c>
      <c r="C31" s="13" t="inlineStr">
        <is>
          <t>Solar PV</t>
        </is>
      </c>
      <c r="D31" s="13" t="inlineStr">
        <is>
          <t>876 MWac</t>
        </is>
      </c>
      <c r="E31" s="15" t="inlineStr">
        <is>
          <t>10%</t>
        </is>
      </c>
      <c r="F31" s="14" t="inlineStr">
        <is>
          <t>https://api.mziq.com/mzfilemanager/v2/d/691c9da5-45e0-458f-a3da-41982b1730fc/997c8334-33a8-b100-0185-f104f94c16dd?origin=1</t>
        </is>
      </c>
      <c r="G31" s="13" t="inlineStr">
        <is>
          <t>Official 'Release de Resultados 3T25': solar 876 MWac of 8,800 MW = 10.0%. Reported in MWac (not MWp). Offline arithmetic check passes. NOT RE-VERIFIED: source returned HTTP 403 policy denial this pass.</t>
        </is>
      </c>
    </row>
    <row r="32" ht="56" customHeight="1">
      <c r="A32" s="7" t="inlineStr">
        <is>
          <t>PEHUEN CI</t>
        </is>
      </c>
      <c r="B32" s="8" t="inlineStr">
        <is>
          <t>Empresa Eléctrica Pehuenche S.A.</t>
        </is>
      </c>
      <c r="C32" s="8" t="inlineStr">
        <is>
          <t>Hydro (reservoir/run-of-river)</t>
        </is>
      </c>
      <c r="D32" s="8" t="inlineStr">
        <is>
          <t>699</t>
        </is>
      </c>
      <c r="E32" s="10" t="inlineStr">
        <is>
          <t>100%</t>
        </is>
      </c>
      <c r="F32" s="9" t="inlineStr">
        <is>
          <t>https://www.enel.cl/en/investors/investor-enel-generacion/subsidiaries/pehuenche-sa.html</t>
        </is>
      </c>
      <c r="G32" s="8" t="inlineStr">
        <is>
          <t>Company is 100% hydroelectric. Breakdown by plant: Pehuenche 570 MW (operating since 1991; ~81.5%), Curillinque 89 MW (since end-1993; ~12.7%), Loma Alta 40 MW (since Aug 1997; ~5.7%) of the 699 MW total. Individual plant figures also appear on Enel's per-plant pages. Not re-fetched this pass — enel.cl blocked by egress policy (HTTP 403); figures retained as established and self-consistent.</t>
        </is>
      </c>
    </row>
    <row r="33" ht="56" customHeight="1">
      <c r="A33" s="12" t="inlineStr">
        <is>
          <t>CELSIA CB</t>
        </is>
      </c>
      <c r="B33" s="13" t="inlineStr">
        <is>
          <t>Celsia S.A. E.S.P.</t>
        </is>
      </c>
      <c r="C33" s="13" t="inlineStr">
        <is>
          <t>Hydro (hydroelectric)</t>
        </is>
      </c>
      <c r="D33" s="13" t="inlineStr">
        <is>
          <t>1,127 MW</t>
        </is>
      </c>
      <c r="E33" s="15" t="inlineStr">
        <is>
          <t>~55%</t>
        </is>
      </c>
      <c r="F33" s="14" t="inlineStr">
        <is>
          <t>https://www.celsia.com/es/centrales-hidroelectricas/</t>
        </is>
      </c>
      <c r="G33" s="13" t="inlineStr">
        <is>
          <t>Official Celsia 'Nuestras centrales hidroeléctricas' page: hydroelectric installed capacity ~1,127 MW across 19 plants in Colombia (Salvajina, Alto/Bajo Anchicayá, Calima, Nima I-II, Río Cali I-II, Amaime, Alto/Bajo Tuluá, Hidroprado, Cucuana, etc.). Down from 1,247.64 MW (2022 report) after the 2023 sale of Panama/Costa Rica assets (incl. Dos Mares hydro ~118 MW) to Enfragen. NOT RE-VERIFIED (celsia.com WebFetch = HTTP 403 policy denial). 1,127/2,066 = ~54.5%. Retained, medium confidence.</t>
        </is>
      </c>
    </row>
    <row r="34" ht="56" customHeight="1">
      <c r="A34" s="12" t="inlineStr">
        <is>
          <t>CELSIA CB</t>
        </is>
      </c>
      <c r="B34" s="13" t="inlineStr">
        <is>
          <t>Celsia S.A. E.S.P.</t>
        </is>
      </c>
      <c r="C34" s="13" t="inlineStr">
        <is>
          <t>Thermal (natural gas / diesel backup)</t>
        </is>
      </c>
      <c r="D34" s="13" t="inlineStr">
        <is>
          <t>519 MW (see caveat — likely overstated for 2024)</t>
        </is>
      </c>
      <c r="E34" s="15" t="inlineStr">
        <is>
          <t>~25%</t>
        </is>
      </c>
      <c r="F34" s="14" t="inlineStr">
        <is>
          <t>https://reporteintegrado2022.celsia.com/en/businesses-that-challenge-us/generation/</t>
        </is>
      </c>
      <c r="G34" s="13" t="inlineStr">
        <is>
          <t>Celsia 2022 Integrated Report (Generation): thermal 519 MW of 2,008.73 MW total. CAVEAT/POSSIBLE ERROR: this 519 MW is a 2022 figure that included Central American thermal capacity. Celsia's 2023 divestment of Panama/Costa Rica assets to Enfragen, plus the 2019 sale of the ~610 MW Zona Franca/Termoflores (Barranquilla) plant, means the 2024 Colombian thermal fleet is centred on Meriléctrica (gas, ~167 MW) and may be materially below 519 MW; the exact 2024 thermal MW could not be extracted. Source unreachable for re-verification (report microsite blocked). Confidence LOW.</t>
        </is>
      </c>
    </row>
    <row r="35" ht="56" customHeight="1">
      <c r="A35" s="12" t="inlineStr">
        <is>
          <t>CELSIA CB</t>
        </is>
      </c>
      <c r="B35" s="13" t="inlineStr">
        <is>
          <t>Celsia S.A. E.S.P.</t>
        </is>
      </c>
      <c r="C35" s="13" t="inlineStr">
        <is>
          <t>Solar PV</t>
        </is>
      </c>
      <c r="D35" s="13" t="inlineStr">
        <is>
          <t>~350 MW (2024, approximate)</t>
        </is>
      </c>
      <c r="E35" s="15" t="inlineStr">
        <is>
          <t>~17%</t>
        </is>
      </c>
      <c r="F35" s="14" t="inlineStr">
        <is>
          <t>https://www.larepublica.co/especiales/lr-express-congreso-andi/este-ano-celsia-alcanzara-los-350-mw-de-capacidad-de-generacion-solar-3946057</t>
        </is>
      </c>
      <c r="G35" s="13" t="inlineStr">
        <is>
          <t>Grew from 192.59 MWp (2022 Integrated Report) toward ~350 MW by 2024 per La República interview with Celsia management (THIRD-PARTY, non-official). Celsia operates ~20-25 solar farms plus distributed rooftop/ground systems in Colombia and Panama. Approximate; official 2024 solar MW table not accessible (celsia.com HTTP 403). Confidence medium-low. Could not upgrade to an official source this session due to egress blocks.</t>
        </is>
      </c>
    </row>
    <row r="36" ht="56" customHeight="1">
      <c r="A36" s="12" t="inlineStr">
        <is>
          <t>CELSIA CB</t>
        </is>
      </c>
      <c r="B36" s="13" t="inlineStr">
        <is>
          <t>Celsia S.A. E.S.P.</t>
        </is>
      </c>
      <c r="C36" s="13" t="inlineStr">
        <is>
          <t>Wind</t>
        </is>
      </c>
      <c r="D36" s="13" t="inlineStr">
        <is>
          <t>9.6 MW (Carreto, Colombia; commissioned 2024/25)</t>
        </is>
      </c>
      <c r="E36" s="15" t="inlineStr">
        <is>
          <t>~0.5%</t>
        </is>
      </c>
      <c r="F36" s="14" t="inlineStr">
        <is>
          <t>https://360radio.com.co/detalles-de-la-primera-planta-eolica-de-celsia-en-colombia-y-cuando-generara-energia-renovable/181459/</t>
        </is>
      </c>
      <c r="G36" s="13" t="inlineStr">
        <is>
          <t>Carreto is Celsia's first wind farm in Colombia (~9.6 MW, two turbines, construction from April 2024). The 49.5 MW wind in the 2022 Integrated Report was the Costa Rica (Guanacaste) asset, divested to Enfragen in 2023. THIRD-PARTY source (360 Radio); some outlets cite ~9.9 MW. Not re-verified this session (celsia.com HTTP 403). Confidence medium-low.</t>
        </is>
      </c>
    </row>
    <row r="37" ht="18" customHeight="1">
      <c r="A37" s="7" t="inlineStr">
        <is>
          <t>ENMT4 BZ</t>
        </is>
      </c>
      <c r="B37" s="8" t="inlineStr">
        <is>
          <t xml:space="preserve">Energisa Mato Grosso - Distribuidora de </t>
        </is>
      </c>
      <c r="C37" s="17" t="inlineStr">
        <is>
          <t>— no directly-held generation —</t>
        </is>
      </c>
      <c r="D37" s="8" t="inlineStr"/>
      <c r="E37" s="8" t="inlineStr"/>
      <c r="F37" s="8" t="inlineStr"/>
      <c r="G37" s="8" t="inlineStr"/>
    </row>
    <row r="38" ht="18" customHeight="1">
      <c r="A38" s="12" t="inlineStr">
        <is>
          <t>EQMA3B BZ</t>
        </is>
      </c>
      <c r="B38" s="13" t="inlineStr">
        <is>
          <t>Equatorial Maranhão Distribuidora de Ene</t>
        </is>
      </c>
      <c r="C38" s="18" t="inlineStr">
        <is>
          <t>— no directly-held generation —</t>
        </is>
      </c>
      <c r="D38" s="13" t="inlineStr"/>
      <c r="E38" s="13" t="inlineStr"/>
      <c r="F38" s="13" t="inlineStr"/>
      <c r="G38" s="13" t="inlineStr"/>
    </row>
    <row r="39" ht="56" customHeight="1">
      <c r="A39" s="7" t="inlineStr">
        <is>
          <t>GEPA4 BZ</t>
        </is>
      </c>
      <c r="B39" s="8" t="inlineStr">
        <is>
          <t>Rio Paranapanema Energia S.A.</t>
        </is>
      </c>
      <c r="C39" s="8" t="inlineStr">
        <is>
          <t>Hydro - large (UHE, Paranapanema river)</t>
        </is>
      </c>
      <c r="D39" s="8" t="inlineStr">
        <is>
          <t>~2,241 MW (8 plants): Capivara 619, Taquarucu 554, Chavantes 414, Rosana 372, Jurumirim 100.9, Salto Grande 74, Canoas I 82, Canoas II 72 (Canoas complex held ~49.7% via consortium with CBA)</t>
        </is>
      </c>
      <c r="E39" s="10" t="inlineStr">
        <is>
          <t>~98.6%</t>
        </is>
      </c>
      <c r="F39" s="9" t="inlineStr">
        <is>
          <t>https://www.ctgbr.com.br/en/operations/hydropower/</t>
        </is>
      </c>
      <c r="G39" s="8" t="inlineStr">
        <is>
          <t>CTG Brasil operations pages and individual plant pages (ctgbr.com.br/en/unidade/...) plus Wikipedia entries: Capivara 619 MW, Taquarucu 554 MW, Chavantes 414 MW, Rosana 372 MW, Jurumirim 100.9 MW, Salto Grande 74 MW, Canoas I 82 MW, Canoas II 72 MW. Company aggregates these eight UHEs at 2,241 MW (Canoas counted at ~49.7% share). Mix of official CTG pages (aggregate) and Wikipedia (per-plant). Could not be re-fetched this pass (403 egress denials); per-plant figures third-party, aggregate official, both UNVERIFIED this pass.</t>
        </is>
      </c>
    </row>
    <row r="40" ht="56" customHeight="1">
      <c r="A40" s="7" t="inlineStr">
        <is>
          <t>GEPA4 BZ</t>
        </is>
      </c>
      <c r="B40" s="8" t="inlineStr">
        <is>
          <t>Rio Paranapanema Energia S.A.</t>
        </is>
      </c>
      <c r="C40" s="8" t="inlineStr">
        <is>
          <t>Hydro - small (PCH, Sapucai-Mirim river)</t>
        </is>
      </c>
      <c r="D40" s="8" t="inlineStr">
        <is>
          <t>~32.5 MW (PCH Palmeiras 16.5 MW + PCH Retiro 16 MW)</t>
        </is>
      </c>
      <c r="E40" s="10" t="inlineStr">
        <is>
          <t>~1.4%</t>
        </is>
      </c>
      <c r="F40" s="9" t="inlineStr">
        <is>
          <t>https://www.ctgbr.com.br/en/unidade/palmeiras-shpp/</t>
        </is>
      </c>
      <c r="G40" s="8" t="inlineStr">
        <is>
          <t>CTG Brasil unit pages for PCH Palmeiras (16.5 MW) and PCH Retiro (16 MW), on the Sapucai-Mirim river (Guara / Sao Joaquim da Barra, SP). Per-plant MW from prior CTG/Wikipedia content; could not be re-fetched this pass (403 egress denials), UNVERIFIED this pass.</t>
        </is>
      </c>
    </row>
    <row r="41" ht="56" customHeight="1">
      <c r="A41" s="12" t="inlineStr">
        <is>
          <t>CEBR5 BZ</t>
        </is>
      </c>
      <c r="B41" s="13" t="inlineStr">
        <is>
          <t>Companhia Energética de Brasília</t>
        </is>
      </c>
      <c r="C41" s="13" t="inlineStr">
        <is>
          <t>Hydro — UHE/PCH Paranoá (100% owned, controlled)</t>
        </is>
      </c>
      <c r="D41" s="13" t="inlineStr">
        <is>
          <t>30 MW (gross = attributable, wholly owned)</t>
        </is>
      </c>
      <c r="E41" s="15" t="inlineStr">
        <is>
          <t>2.4% of the ~1,263 MW gross across plants CEB participates in</t>
        </is>
      </c>
      <c r="F41" s="14" t="inlineStr">
        <is>
          <t>https://pt.wikipedia.org/wiki/Companhia_Energ%C3%A9tica_de_Bras%C3%ADlia</t>
        </is>
      </c>
      <c r="G41" s="13" t="inlineStr">
        <is>
          <t>Paranoá hydro plant, ~30 MW installed, held 100% via CEB Geração; concession reportedly extended by MME to Apr 29, 2050. From pt.Wikipedia and CEB IR portfolio page (per original draft). CEB's only wholly-owned/controlled generation. NOT re-fetched this pass (403 at egress proxy; search budget exhausted).</t>
        </is>
      </c>
    </row>
    <row r="42" ht="56" customHeight="1">
      <c r="A42" s="12" t="inlineStr">
        <is>
          <t>CEBR5 BZ</t>
        </is>
      </c>
      <c r="B42" s="13" t="inlineStr">
        <is>
          <t>Companhia Energética de Brasília</t>
        </is>
      </c>
      <c r="C42" s="13" t="inlineStr">
        <is>
          <t>Hydro — UHE Luís Eduardo Magalhães / Lajeado (minority, ~16.98%–19.8%)</t>
        </is>
      </c>
      <c r="D42" s="13" t="inlineStr">
        <is>
          <t>902.5 MW gross (5×180.5 MW Kaplan units); CEB attributable ≈ 178.7 MW (19.8%)</t>
        </is>
      </c>
      <c r="E42" s="15" t="inlineStr">
        <is>
          <t>73% of gross (CEB share is minority)</t>
        </is>
      </c>
      <c r="F42" s="14" t="inlineStr">
        <is>
          <t>https://www.investco.com.br/en/power-plant</t>
        </is>
      </c>
      <c r="G42" s="13" t="inlineStr">
        <is>
          <t>902.5 MW attributed to the Investco/EDP Lajeado official plant page in the original draft; CEB Lajeado S.A. holds ~19.80% in the Consórcio Lajeado and ~16.98% of Investco's capital (Investco shareholders per draft: EDP ~73%, CEB ~20%, CPFL ~7%). NOT re-verifiable this pass — investco.com.br returned HTTP 403 at the egress proxy and WebSearch was exhausted; figure retained from draft, unconfirmed on-source.</t>
        </is>
      </c>
    </row>
    <row r="43" ht="56" customHeight="1">
      <c r="A43" s="12" t="inlineStr">
        <is>
          <t>CEBR5 BZ</t>
        </is>
      </c>
      <c r="B43" s="13" t="inlineStr">
        <is>
          <t>Companhia Energética de Brasília</t>
        </is>
      </c>
      <c r="C43" s="13" t="inlineStr">
        <is>
          <t>Hydro — UHE Corumbá IV (minority, ~34.07% CEB Group)</t>
        </is>
      </c>
      <c r="D43" s="13" t="inlineStr">
        <is>
          <t>129.6 MW gross; CEB attributable ≈ 44.2 MW (34.07%)</t>
        </is>
      </c>
      <c r="E43" s="15" t="inlineStr">
        <is>
          <t>10.5% of gross (CEB share is minority)</t>
        </is>
      </c>
      <c r="F43" s="14" t="inlineStr">
        <is>
          <t>https://pt.wikipedia.org/wiki/Companhia_Energ%C3%A9tica_de_Bras%C3%ADlia</t>
        </is>
      </c>
      <c r="G43" s="13" t="inlineStr">
        <is>
          <t>Corumbá IV, 129.6 MW; CEB Group participation ~34.07% (CEB administrator of the venture). From pt.Wikipedia quoting CEB (per draft). NOT re-fetched this pass (403 at egress proxy; search budget exhausted).</t>
        </is>
      </c>
    </row>
    <row r="44" ht="56" customHeight="1">
      <c r="A44" s="12" t="inlineStr">
        <is>
          <t>CEBR5 BZ</t>
        </is>
      </c>
      <c r="B44" s="13" t="inlineStr">
        <is>
          <t>Companhia Energética de Brasília</t>
        </is>
      </c>
      <c r="C44" s="13" t="inlineStr">
        <is>
          <t>Hydro — UHE Queimado (minority, 17.5% CEB)</t>
        </is>
      </c>
      <c r="D44" s="13" t="inlineStr">
        <is>
          <t>105 MW gross; CEB attributable ≈ 18.4 MW (17.5%)</t>
        </is>
      </c>
      <c r="E44" s="15" t="inlineStr">
        <is>
          <t>8.5% of gross (CEB share is minority)</t>
        </is>
      </c>
      <c r="F44" s="14" t="inlineStr">
        <is>
          <t>https://pt.wikipedia.org/wiki/Companhia_Energ%C3%A9tica_de_Bras%C3%ADlia</t>
        </is>
      </c>
      <c r="G44" s="13" t="inlineStr">
        <is>
          <t>Queimado, 105 MW; CEB holds 17.5% of the Cemig–CEB consortium (Cemig 82.5%). From pt.Wikipedia quoting CEB (per draft). NOT re-fetched this pass (403 at egress proxy; search budget exhausted).</t>
        </is>
      </c>
    </row>
    <row r="45" ht="56" customHeight="1">
      <c r="A45" s="12" t="inlineStr">
        <is>
          <t>CEBR5 BZ</t>
        </is>
      </c>
      <c r="B45" s="13" t="inlineStr">
        <is>
          <t>Companhia Energética de Brasília</t>
        </is>
      </c>
      <c r="C45" s="13" t="inlineStr">
        <is>
          <t>Hydro — UHE Corumbá III (minority, ~24% CEB as of ~2026; higher historically)</t>
        </is>
      </c>
      <c r="D45" s="13" t="inlineStr">
        <is>
          <t>96.45 MW gross; CEB attributable ≈ 23 MW (~24%)</t>
        </is>
      </c>
      <c r="E45" s="15" t="inlineStr">
        <is>
          <t>7.8% of gross (CEB share is minority)</t>
        </is>
      </c>
      <c r="F45" s="14" t="inlineStr">
        <is>
          <t>https://www.neoenergia.com/en/energia-hidrica/corumba</t>
        </is>
      </c>
      <c r="G45" s="13" t="inlineStr">
        <is>
          <t>Corumbá III, ~96.45 MW. Ownership reportedly shifted, with Neoenergia disclosing ~76% direct+indirect as of ~Mar 2026 and ~24% remaining with CEB (earlier structures cited CEB 60% or 37.5%). From Neoenergia official page + draft. NOT re-verifiable this pass — neoenergia.com returned HTTP 403 at the egress proxy and WebSearch was exhausted; stake figures evolving and unconfirmed on-source. See data_notes.</t>
        </is>
      </c>
    </row>
    <row r="46" ht="56" customHeight="1">
      <c r="A46" s="12" t="inlineStr">
        <is>
          <t>CEBR5 BZ</t>
        </is>
      </c>
      <c r="B46" s="13" t="inlineStr">
        <is>
          <t>Companhia Energética de Brasília</t>
        </is>
      </c>
      <c r="C46" s="13" t="inlineStr">
        <is>
          <t>Solar PV — Brasília consortium (under development, 50% CEB Participações)</t>
        </is>
      </c>
      <c r="D46" s="13" t="inlineStr">
        <is>
          <t>3 MW (project; not yet in the 708 MW figure)</t>
        </is>
      </c>
      <c r="E46" s="15" t="inlineStr">
        <is>
          <t>n/a (under construction)</t>
        </is>
      </c>
      <c r="F46" s="14" t="inlineStr">
        <is>
          <t>https://noticias.stf.jus.br/postsnoticias/stf-integra-consorcio-para-a-geracao-compartilhada-de-energia/</t>
        </is>
      </c>
      <c r="G46" s="13" t="inlineStr">
        <is>
          <t>Per the original draft, on Feb 19, 2025 CEB Participações S.A., Terracap and Brazil's Supreme Court (STF) formed a consortium for a 3 MW photovoltaic plant (13.2 ha) for shared self-generation; CEB Participações funds 50%, contracted at R$9.89M under full EPC. Official STF news release. NOT re-fetched this pass — noticias.stf.jus.br returned HTTP 403 at the egress proxy. Self-supply/shared-generation project, not yet operating capacity.</t>
        </is>
      </c>
    </row>
    <row r="47" ht="56" customHeight="1">
      <c r="A47" s="7" t="inlineStr">
        <is>
          <t>PUNTILLA CI</t>
        </is>
      </c>
      <c r="B47" s="8" t="inlineStr">
        <is>
          <t>Eléctrica Puntilla S.A.</t>
        </is>
      </c>
      <c r="C47" s="8" t="inlineStr">
        <is>
          <t>Hydro (run-of-river) — owned plants</t>
        </is>
      </c>
      <c r="D47" s="8" t="inlineStr">
        <is>
          <t>~43.8 MW (Puntilla ~22.1 + Itata ~20 + Vertientes ~1.7)</t>
        </is>
      </c>
      <c r="E47" s="10" t="inlineStr">
        <is>
          <t>100%</t>
        </is>
      </c>
      <c r="F47" s="9" t="inlineStr">
        <is>
          <t>https://www.electricapuntilla.cl/centrales/</t>
        </is>
      </c>
      <c r="G47" s="8" t="inlineStr">
        <is>
          <t>Company self-describes as 100% run-of-river hydro. Owned operational plants: Central Puntilla ~22.1 MW (Maipo river, operating since 1927, upgraded 2006); Central Itata ~20 MW (Itata river, ~72 GWh/yr, inaugurated ~2014); Central Vertientes ~1.7 MW (in operation since Oct 2013). NOT re-verified this session: the official 'Centrales' page and all fallback sources (cmfchile.cl, es.wikipedia.org) were blocked by an egress-policy denial (403 / connect_rejected). Values retained from the draft.</t>
        </is>
      </c>
    </row>
    <row r="48" ht="56" customHeight="1">
      <c r="A48" s="12" t="inlineStr">
        <is>
          <t>WIG JA</t>
        </is>
      </c>
      <c r="B48" s="13" t="inlineStr">
        <is>
          <t>Wigton Energy Limited</t>
        </is>
      </c>
      <c r="C48" s="13" t="inlineStr">
        <is>
          <t>Wind</t>
        </is>
      </c>
      <c r="D48" s="13" t="inlineStr">
        <is>
          <t>62.7 MW (Wigton I 20.7 MW; Wigton II 18 MW; Wigton III 24 MW)</t>
        </is>
      </c>
      <c r="E48" s="15" t="inlineStr">
        <is>
          <t>100%</t>
        </is>
      </c>
      <c r="F48" s="14" t="inlineStr">
        <is>
          <t>https://jis.gov.jm/government/agencies/wigton-wind-farm-limited/</t>
        </is>
      </c>
      <c r="G48" s="13" t="inlineStr">
        <is>
          <t>JIS (Government of Jamaica) official agency page: 62.7 MW total across three onshore wind phases (20.7 / 18 / 24 MW), 44 turbines at Rose Hill, Manchester. 100% of currently installed generation is onshore wind (phase shares: Phase I ~33.0%, Phase II ~28.7%, Phase III ~38.3%, computed from MW). No solar, hydro, gas, coal, oil or biomass currently in operation; solar is under development only (see PPAs / data_notes). VERIFICATION LIMITATION (this run): source_url not re-fetched — all outbound hosts returned HTTP 403 policy denials and WebSearch quota exhausted; figures retained as consistent with well-established public data and prior knowledge.</t>
        </is>
      </c>
    </row>
    <row r="49" ht="56" customHeight="1">
      <c r="A49" s="7" t="inlineStr">
        <is>
          <t>ENLASA CI</t>
        </is>
      </c>
      <c r="B49" s="8" t="inlineStr">
        <is>
          <t>Energía Latina S.A.</t>
        </is>
      </c>
      <c r="C49" s="8" t="inlineStr">
        <is>
          <t>Oil / Diesel (thermal, backup/peaking 'respaldo')</t>
        </is>
      </c>
      <c r="D49" s="8" t="inlineStr">
        <is>
          <t>356.8 MW nominal (296.1 MW max) across 4 plants: El Peñón (Coquimbo) 98.9 MW; Trapén (Puerto Montt, Los Lagos) 98.0 MW; Teno (Maule) 70.2 MW; San Lorenzo (Diego de Almagro, Atacama) 68.5 MW</t>
        </is>
      </c>
      <c r="E49" s="10" t="inlineStr">
        <is>
          <t>94%</t>
        </is>
      </c>
      <c r="F49" s="9" t="inlineStr">
        <is>
          <t>https://humphreys.cl/wp-content/uploads/2018/08/Informe-Enlasa-Generacion-Chile-Nov-2025-Anual.pdf</t>
        </is>
      </c>
      <c r="G49" s="8" t="inlineStr">
        <is>
          <t>Humphreys Nov 2025 / Nov 2024 rating reports on Enlasa Generación Chile S.A.: per-plant nominal and maximum power; total 356.8 MW nominal (per-plant nominal sums to 335.6 MW — the 356.8 MW group total likely includes additional/auxiliary units not itemised in the extracts, so per-plant figures are indicative). NON-OFFICIAL rating-agency source (company-derived). Percentage uses nominal MW of the 378 MW nominal total. PDF blocked (403) this session; not independently re-confirmed — see verification_notes.</t>
        </is>
      </c>
    </row>
    <row r="50" ht="56" customHeight="1">
      <c r="A50" s="7" t="inlineStr">
        <is>
          <t>ENLASA CI</t>
        </is>
      </c>
      <c r="B50" s="8" t="inlineStr">
        <is>
          <t>Energía Latina S.A.</t>
        </is>
      </c>
      <c r="C50" s="8" t="inlineStr">
        <is>
          <t>Solar PV</t>
        </is>
      </c>
      <c r="D50" s="8" t="inlineStr">
        <is>
          <t>21.15 MWp installed (16.9 MW max) across 2 grid plants (Teno Solar, Maule; Chercán / Coquimbo), online 2022–2023</t>
        </is>
      </c>
      <c r="E50" s="10" t="inlineStr">
        <is>
          <t>6%</t>
        </is>
      </c>
      <c r="F50" s="9" t="inlineStr">
        <is>
          <t>https://humphreys.cl/wp-content/uploads/2018/08/Informe-Enlasa-Generacion-Chile-Nov-2025-Anual.pdf</t>
        </is>
      </c>
      <c r="G50" s="8" t="inlineStr">
        <is>
          <t>Humphreys rating reports: two solar plants totaling 21.15 MWp / 16.9 MW max, commissioned 2022 and 2023. NON-OFFICIAL rating-agency source. Percentage uses nominal MWp against the ~378 MW nominal total (mixes MWp with MW nominal — treat as approximate). A separate portfolio of 32 solar self-consumption plants (~11 MWp) was SOLD by Enlasa to Solarity/Brookfield in 2025 and is excluded here (see data_notes). PDF blocked (403) this session; not independently re-confirmed — see verification_notes.</t>
        </is>
      </c>
    </row>
    <row r="51" ht="56" customHeight="1">
      <c r="A51" s="12" t="inlineStr">
        <is>
          <t>AESO3 BZ</t>
        </is>
      </c>
      <c r="B51" s="13" t="inlineStr">
        <is>
          <t>AES Brasil Energia S.A. / AES Brasil Ope</t>
        </is>
      </c>
      <c r="C51" s="13" t="inlineStr">
        <is>
          <t>Hydro</t>
        </is>
      </c>
      <c r="D51" s="13" t="inlineStr">
        <is>
          <t>~2,700 MW (2.7 GW) operational</t>
        </is>
      </c>
      <c r="E51" s="15" t="inlineStr">
        <is>
          <t>~64% of 4.2 GW operational (analyst-derived)</t>
        </is>
      </c>
      <c r="F51" s="14" t="inlineStr">
        <is>
          <t>https://ri.aesbrasil.com.br/en/meet-aes-brasil/aes-brasil/</t>
        </is>
      </c>
      <c r="G51" s="13" t="inlineStr">
        <is>
          <t>AES Brasil official IR 'Meet AES Brasil' page: '2.7 GW of hydroelectric capacity'. Former AES Tiete plants (Agua Vermelha 1,396 MW, Nova Avanhandava 347 MW, Promissao 264 MW, Bariri 143 MW, Barra Bonita 141 MW, Ibitinga 132 MW, Euclides da Cunha 109 MW, Caconde 80 MW, Limoeiro 32 MW, plus small plants). % of operational computed by analyst (2.7/4.2). Source page could not be re-fetched on this pass (DNS non-resolving); no contradicting figure found.</t>
        </is>
      </c>
    </row>
    <row r="52" ht="56" customHeight="1">
      <c r="A52" s="12" t="inlineStr">
        <is>
          <t>AESO3 BZ</t>
        </is>
      </c>
      <c r="B52" s="13" t="inlineStr">
        <is>
          <t>AES Brasil Energia S.A. / AES Brasil Ope</t>
        </is>
      </c>
      <c r="C52" s="13" t="inlineStr">
        <is>
          <t>Wind</t>
        </is>
      </c>
      <c r="D52" s="13" t="inlineStr">
        <is>
          <t>~1,205 MW operational (2.2 GW total including ~1.0 GW under construction)</t>
        </is>
      </c>
      <c r="E52" s="15" t="inlineStr">
        <is>
          <t>~29% of 4.2 GW operational (analyst-derived)</t>
        </is>
      </c>
      <c r="F52" s="14" t="inlineStr">
        <is>
          <t>https://ri.aesbrasil.com.br/en/meet-aes-brasil/aes-brasil/</t>
        </is>
      </c>
      <c r="G52" s="13" t="inlineStr">
        <is>
          <t>AES Brasil official IR page: '2.2 GW of wind capacity (of which 1.0 GW under construction)', implying ~1.2 GW operational. Complexes: Alto Sertao, Ventus, Tucano (Bahia), Cajuina (Rio Grande do Norte). Operational MW and % derived by analyst. Source could not be re-fetched on this pass; no contradicting figure found.</t>
        </is>
      </c>
    </row>
    <row r="53" ht="56" customHeight="1">
      <c r="A53" s="12" t="inlineStr">
        <is>
          <t>AESO3 BZ</t>
        </is>
      </c>
      <c r="B53" s="13" t="inlineStr">
        <is>
          <t>AES Brasil Energia S.A. / AES Brasil Ope</t>
        </is>
      </c>
      <c r="C53" s="13" t="inlineStr">
        <is>
          <t>Solar PV</t>
        </is>
      </c>
      <c r="D53" s="13" t="inlineStr">
        <is>
          <t>295.1 MW operational</t>
        </is>
      </c>
      <c r="E53" s="15" t="inlineStr">
        <is>
          <t>~7% of 4.2 GW operational (analyst-derived)</t>
        </is>
      </c>
      <c r="F53" s="14" t="inlineStr">
        <is>
          <t>https://ri.aesbrasil.com.br/en/meet-aes-brasil/aes-brasil/</t>
        </is>
      </c>
      <c r="G53" s="13" t="inlineStr">
        <is>
          <t>AES Brasil official IR page: '295.1 MW of operational solar capacity' (Guaimbe, Ouroeste/Boa Hora, Agua Vermelha solar complexes). % computed by analyst. Source could not be re-fetched on this pass; no contradicting figure found.</t>
        </is>
      </c>
    </row>
    <row r="54" ht="56" customHeight="1">
      <c r="A54" s="7" t="inlineStr">
        <is>
          <t>PRMN3B BZ</t>
        </is>
      </c>
      <c r="B54" s="8" t="inlineStr">
        <is>
          <t>Produtores Energéticos de Manso S.A.</t>
        </is>
      </c>
      <c r="C54" s="8" t="inlineStr">
        <is>
          <t>Hydro (reservoir — UHE/APM-Manso, Rio Manso, Chapada dos Guimarães, MT)</t>
        </is>
      </c>
      <c r="D54" s="8" t="inlineStr">
        <is>
          <t>210 MW total plant (4 x 52.5 MW). PROMAN 30% economic interest ≈ 63 MW attributable; PROMAN assured firm energy ~92.0 MW-avg/yr</t>
        </is>
      </c>
      <c r="E54" s="10" t="inlineStr">
        <is>
          <t>100%</t>
        </is>
      </c>
      <c r="F54" s="9" t="inlineStr">
        <is>
          <t>https://www.furnas.com.br/subsecao/124/usina-de-manso---210-mw?culture=pt</t>
        </is>
      </c>
      <c r="G54" s="8" t="inlineStr">
        <is>
          <t>Eletrobras Furnas official plant page: 210 MW, four 52.5 MW hydro units. 100% of PROMAN's generation exposure is this single hydro asset (no wind/solar/thermal). VERIFICATION NOTE: source returned HTTP 403 in this session and could not be re-fetched; figure retained as consistent with established record. High confidence on the 210 MW plant total and 100% hydro composition; the ~63 MW attributable is a derived (30% x 210) figure.</t>
        </is>
      </c>
    </row>
    <row r="55" ht="18" customHeight="1">
      <c r="A55" s="12" t="inlineStr">
        <is>
          <t>GEB CB</t>
        </is>
      </c>
      <c r="B55" s="13" t="inlineStr">
        <is>
          <t>Grupo Energía Bogotá S.A. E.S.P.</t>
        </is>
      </c>
      <c r="C55" s="18" t="inlineStr">
        <is>
          <t>— no directly-held generation —</t>
        </is>
      </c>
      <c r="D55" s="13" t="inlineStr"/>
      <c r="E55" s="13" t="inlineStr"/>
      <c r="F55" s="13" t="inlineStr"/>
      <c r="G55" s="13" t="inlineStr"/>
    </row>
  </sheetData>
  <mergeCells count="1">
    <mergeCell ref="A1:G1"/>
  </mergeCell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4" r:id="rId22"/>
    <hyperlink xmlns:r="http://schemas.openxmlformats.org/officeDocument/2006/relationships" ref="F25" r:id="rId23"/>
    <hyperlink xmlns:r="http://schemas.openxmlformats.org/officeDocument/2006/relationships" ref="F26" r:id="rId24"/>
    <hyperlink xmlns:r="http://schemas.openxmlformats.org/officeDocument/2006/relationships" ref="F27" r:id="rId25"/>
    <hyperlink xmlns:r="http://schemas.openxmlformats.org/officeDocument/2006/relationships" ref="F28" r:id="rId26"/>
    <hyperlink xmlns:r="http://schemas.openxmlformats.org/officeDocument/2006/relationships" ref="F29" r:id="rId27"/>
    <hyperlink xmlns:r="http://schemas.openxmlformats.org/officeDocument/2006/relationships" ref="F30" r:id="rId28"/>
    <hyperlink xmlns:r="http://schemas.openxmlformats.org/officeDocument/2006/relationships" ref="F31" r:id="rId29"/>
    <hyperlink xmlns:r="http://schemas.openxmlformats.org/officeDocument/2006/relationships" ref="F32" r:id="rId30"/>
    <hyperlink xmlns:r="http://schemas.openxmlformats.org/officeDocument/2006/relationships" ref="F33" r:id="rId31"/>
    <hyperlink xmlns:r="http://schemas.openxmlformats.org/officeDocument/2006/relationships" ref="F34" r:id="rId32"/>
    <hyperlink xmlns:r="http://schemas.openxmlformats.org/officeDocument/2006/relationships" ref="F35" r:id="rId33"/>
    <hyperlink xmlns:r="http://schemas.openxmlformats.org/officeDocument/2006/relationships" ref="F36" r:id="rId34"/>
    <hyperlink xmlns:r="http://schemas.openxmlformats.org/officeDocument/2006/relationships" ref="F39" r:id="rId35"/>
    <hyperlink xmlns:r="http://schemas.openxmlformats.org/officeDocument/2006/relationships" ref="F40" r:id="rId36"/>
    <hyperlink xmlns:r="http://schemas.openxmlformats.org/officeDocument/2006/relationships" ref="F41" r:id="rId37"/>
    <hyperlink xmlns:r="http://schemas.openxmlformats.org/officeDocument/2006/relationships" ref="F42" r:id="rId38"/>
    <hyperlink xmlns:r="http://schemas.openxmlformats.org/officeDocument/2006/relationships" ref="F43" r:id="rId39"/>
    <hyperlink xmlns:r="http://schemas.openxmlformats.org/officeDocument/2006/relationships" ref="F44" r:id="rId40"/>
    <hyperlink xmlns:r="http://schemas.openxmlformats.org/officeDocument/2006/relationships" ref="F45"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9"/>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8" customWidth="1" min="2" max="2"/>
    <col width="30" customWidth="1" min="3" max="3"/>
    <col width="26" customWidth="1" min="4" max="4"/>
    <col width="22" customWidth="1" min="5" max="5"/>
    <col width="24" customWidth="1" min="6" max="6"/>
    <col width="50" customWidth="1" min="7" max="7"/>
    <col width="36" customWidth="1" min="8" max="8"/>
    <col width="40" customWidth="1" min="9" max="9"/>
  </cols>
  <sheetData>
    <row r="1" ht="24" customHeight="1">
      <c r="A1" s="5" t="inlineStr">
        <is>
          <t>Power Purchase Agreements &amp; long-term energy contracts (as disclosed) — one row per contract</t>
        </is>
      </c>
    </row>
    <row r="2" ht="30" customHeight="1">
      <c r="A2" s="6" t="inlineStr">
        <is>
          <t>Ticker</t>
        </is>
      </c>
      <c r="B2" s="6" t="inlineStr">
        <is>
          <t>Company</t>
        </is>
      </c>
      <c r="C2" s="6" t="inlineStr">
        <is>
          <t>Counterparty / Offtaker</t>
        </is>
      </c>
      <c r="D2" s="6" t="inlineStr">
        <is>
          <t>Contract Type</t>
        </is>
      </c>
      <c r="E2" s="6" t="inlineStr">
        <is>
          <t>Volume / Capacity</t>
        </is>
      </c>
      <c r="F2" s="6" t="inlineStr">
        <is>
          <t>Term</t>
        </is>
      </c>
      <c r="G2" s="6" t="inlineStr">
        <is>
          <t>Details</t>
        </is>
      </c>
      <c r="H2" s="6" t="inlineStr">
        <is>
          <t>Source</t>
        </is>
      </c>
      <c r="I2" s="6" t="inlineStr">
        <is>
          <t>Source detail</t>
        </is>
      </c>
    </row>
    <row r="3" ht="70" customHeight="1">
      <c r="A3" s="7" t="inlineStr">
        <is>
          <t>AXIA3 BZ</t>
        </is>
      </c>
      <c r="B3" s="8" t="inlineStr">
        <is>
          <t xml:space="preserve">Centrais Elétricas Brasileiras S.A. </t>
        </is>
      </c>
      <c r="C3" s="8" t="inlineStr">
        <is>
          <t>Various / regulated auctions (ANEEL/CCEE-administered ACR) + legacy quota-regime energy ('descotização')</t>
        </is>
      </c>
      <c r="D3" s="8" t="inlineStr">
        <is>
          <t>Regulated (ACR) auction contracts + phased release of previously quota-linked energy under Law 14.182/2021</t>
        </is>
      </c>
      <c r="E3" s="8" t="inlineStr">
        <is>
          <t>Not separately disclosed in accessible sources</t>
        </is>
      </c>
      <c r="F3" s="8" t="inlineStr">
        <is>
          <t>Multi-year; quota energy migrating to the free market in phased tranches through the 2020s</t>
        </is>
      </c>
      <c r="G3" s="8" t="inlineStr">
        <is>
          <t>Under the 2021 privatization law, energy formerly committed under the quota regime is progressively released to the free market; additional tranches opened in 2025. Official (company 4Q25 results).</t>
        </is>
      </c>
      <c r="H3" s="9" t="inlineStr">
        <is>
          <t>https://brazilstockguide.com/insights/axia-energia-4q25-results/</t>
        </is>
      </c>
      <c r="I3" s="8" t="inlineStr">
        <is>
          <t>Company 4Q25 results describing continued 'descotização' under Law 14.182/2021 (official disclosure via search-indexed text; direct page fetch blocked, HTTP 403).</t>
        </is>
      </c>
    </row>
    <row r="4" ht="70" customHeight="1">
      <c r="A4" s="7" t="inlineStr">
        <is>
          <t>AXIA3 BZ</t>
        </is>
      </c>
      <c r="B4" s="8" t="inlineStr">
        <is>
          <t xml:space="preserve">Centrais Elétricas Brasileiras S.A. </t>
        </is>
      </c>
      <c r="C4" s="8" t="inlineStr">
        <is>
          <t>Free-market clients (ACL) and short-term market (MCP/spot)</t>
        </is>
      </c>
      <c r="D4" s="8" t="inlineStr">
        <is>
          <t>Free-market (ACL) bilateral PPAs / commercialization + MCP allocation</t>
        </is>
      </c>
      <c r="E4" s="8" t="inlineStr">
        <is>
          <t>Commercialization client book reported at ~875 total clients end-4Q25 (of which ~780 operating in ACL); ACL sales volume down y/y with the company opting for more opportunistic MCP allocation. ACL/MCP contribution margin rose from R$78/MWh (4Q24) to R$101/MWh (4Q25).</t>
        </is>
      </c>
      <c r="F4" s="8" t="inlineStr">
        <is>
          <t>Various bilateral terms (not individually disclosed)</t>
        </is>
      </c>
      <c r="G4" s="8" t="inlineStr">
        <is>
          <t>The commercialization arm sells generation output into the free and spot markets. The R$78→R$101/MWh contribution-margin improvement is CONFIRMED in the official 4Q25 disclosure; the specific client counts (~875 total / ~780 ACL) come from the official release but could not be independently re-confirmed in accessible search text, so treat the exact counts as company-reported (medium confidence).</t>
        </is>
      </c>
      <c r="H4" s="9" t="inlineStr">
        <is>
          <t>https://brazilstockguide.com/insights/axia-energia-4q25-results/</t>
        </is>
      </c>
      <c r="I4" s="8" t="inlineStr">
        <is>
          <t>Company 4Q25 results, commercialization section (official; margin figure corroborated in indexed summaries of the release and SEC 6-K coverage). Direct fetch of axia.com.br/mziq blocked (HTTP 403).</t>
        </is>
      </c>
    </row>
    <row r="5" ht="70" customHeight="1">
      <c r="A5" s="7" t="inlineStr">
        <is>
          <t>AXIA3 BZ</t>
        </is>
      </c>
      <c r="B5" s="8" t="inlineStr">
        <is>
          <t xml:space="preserve">Centrais Elétricas Brasileiras S.A. </t>
        </is>
      </c>
      <c r="C5" s="8" t="inlineStr">
        <is>
          <t>Regulated pool via 2026 Capacity Reserve Auction (LRCAP / 'leilão de reserva de capacidade'), contracted by AXIA Energia and affiliate AXIA Energia Nordeste</t>
        </is>
      </c>
      <c r="D5" s="8" t="inlineStr">
        <is>
          <t>Regulated capacity-reserve auction contract (ACR) — first such auction to allow hydro participation</t>
        </is>
      </c>
      <c r="E5" s="8" t="inlineStr">
        <is>
          <t>190.129 MW contracted (CORRECTED — draft said '+246.6 MW'). The ~246.6 MW figure is the physical size of the NEW generating unit to be installed at the Luiz Gonzaga (Itaparica) HPP, Petrolândia (PE); the CONTRACTED capacity awarded was 190.129 MW.</t>
        </is>
      </c>
      <c r="F5" s="8" t="inlineStr">
        <is>
          <t>15-year supply contract with delivery starting Aug 1, 2031; auction held March 18, 2026. Contract price ~R$1.4 million/MW/year.</t>
        </is>
      </c>
      <c r="G5" s="8" t="inlineStr">
        <is>
          <t>AXIA won 190.129 MW in Brazil's 2026 Capacity Reserve Auction, tied to an investment of ~R$1 billion to add a new generating unit (~246.6 MW nameplate) at the Luiz Gonzaga HPP. CORRECTION vs draft: the draft conflated the new unit's nameplate (246.6 MW) with the contracted volume (190.129 MW), and dated it only as 'awarded in the 2026 auction' — the auction was on March 18, 2026 with a 15-year term from Aug 1, 2031.</t>
        </is>
      </c>
      <c r="H5" s="9" t="inlineStr">
        <is>
          <t>https://www.tipranks.com/news/company-announcements/axia-energia-wins-190-mw-in-brazils-2026-capacity-auction-for-luiz-gonzaga-expansion</t>
        </is>
      </c>
      <c r="I5" s="8" t="inlineStr">
        <is>
          <t>Company announcement (axia.com.br/w/leilao-reserva-capacidade-investimento — official, fetch blocked HTTP 403) corroborated by TipRanks company-announcement coverage and ADVFN/Brasil247 press, all stating 190.129 MW contracted at ~R$1.4M/MW/yr, 15-yr term from Aug 2031, ~246.6 MW new unit, ~R$1bn investment.</t>
        </is>
      </c>
    </row>
    <row r="6" ht="70" customHeight="1">
      <c r="A6" s="7" t="inlineStr">
        <is>
          <t>AXIA3 BZ</t>
        </is>
      </c>
      <c r="B6" s="8" t="inlineStr">
        <is>
          <t xml:space="preserve">Centrais Elétricas Brasileiras S.A. </t>
        </is>
      </c>
      <c r="C6" s="8" t="inlineStr">
        <is>
          <t>Wind-energy offtake contracts (aggregate)</t>
        </is>
      </c>
      <c r="D6" s="8" t="inlineStr">
        <is>
          <t>Long-term energy supply contracts backed by wind generation</t>
        </is>
      </c>
      <c r="E6" s="8" t="inlineStr">
        <is>
          <t>Not disclosed; drove a ~R$250 million negative impact in 4Q25 for reimbursements on undelivered contracted wind energy</t>
        </is>
      </c>
      <c r="F6" s="8" t="inlineStr">
        <is>
          <t>n/a (aggregate)</t>
        </is>
      </c>
      <c r="G6" s="8" t="inlineStr">
        <is>
          <t>In 4Q25 the company recorded a ~R$250 million negative impact from reimbursements for failing to deliver contracted wind energy (generation shortfall/curtailment), indicating material long-term wind offtake commitments. CONFIRMED in official 4Q25 disclosure.</t>
        </is>
      </c>
      <c r="H6" s="9" t="inlineStr">
        <is>
          <t>https://brazilstockguide.com/insights/axia-energia-4q25-results/</t>
        </is>
      </c>
      <c r="I6" s="8" t="inlineStr">
        <is>
          <t>R$250 million wind-reimbursement impact confirmed via search-indexed official 4Q25 results and corroborating financial press (Brazil Stock Guide, Investidor10). Direct fetch blocked (HTTP 403).</t>
        </is>
      </c>
    </row>
    <row r="7" ht="70" customHeight="1">
      <c r="A7" s="12" t="inlineStr">
        <is>
          <t>ENEV3 BZ</t>
        </is>
      </c>
      <c r="B7" s="13" t="inlineStr">
        <is>
          <t>Eneva S.A.</t>
        </is>
      </c>
      <c r="C7" s="13" t="inlineStr">
        <is>
          <t>Various / regulated distributors (ACR - Regulated Contracting Environment, via ANEEL energy/capacity auctions; CCEAR contracts)</t>
        </is>
      </c>
      <c r="D7" s="13" t="inlineStr">
        <is>
          <t>Regulated (ACR) auction PPAs (CCEAR)</t>
        </is>
      </c>
      <c r="E7" s="13" t="inlineStr">
        <is>
          <t>Bulk of thermal fleet, incl. Itaqui 360 MW (coal), Parnaiba I 676 MW, Parnaiba II 519 MW, Parnaiba III 178 MW (gas)</t>
        </is>
      </c>
      <c r="F7" s="13" t="inlineStr">
        <is>
          <t>Long-term (typically 15-25 yr auction contracts); certain Parnaiba I/III gas (~854 MW) and Itaqui/Pecem coal (~725 MW) contracts expiring 2026-2028 and being recontracted</t>
        </is>
      </c>
      <c r="G7" s="13" t="inlineStr">
        <is>
          <t>Eneva's thermal assets are contracted mainly in the ACR via regulated auctions, providing availability-based fixed revenue plus variable dispatch revenue. Company is actively recontracting Parnaiba I/III and Itaqui/Pecem as contracts roll off in 2026-2028.</t>
        </is>
      </c>
      <c r="H7" s="14" t="inlineStr">
        <is>
          <t>https://researchxp1.s3.sa-east-1.amazonaws.com/2025.11.30+-+ENEV+IoC.pdf</t>
        </is>
      </c>
      <c r="I7" s="13" t="inlineStr">
        <is>
          <t>XP Investimentos equity research on Eneva (third-party, Nov 2025) lists ACR-contracted assets and expiry dates; consistent with Eneva operational releases and corroborated by Rio Times coverage of the upcoming capacity auction. PDF not directly fetchable (egress blocked); content via search summary. Plant/MW figures cross-checked against Global Energy Monitor. Medium confidence on exact expiry dates.</t>
        </is>
      </c>
    </row>
    <row r="8" ht="70" customHeight="1">
      <c r="A8" s="12" t="inlineStr">
        <is>
          <t>ENEV3 BZ</t>
        </is>
      </c>
      <c r="B8" s="13" t="inlineStr">
        <is>
          <t>Eneva S.A.</t>
        </is>
      </c>
      <c r="C8" s="13" t="inlineStr">
        <is>
          <t>System / reserve capacity (LRCAP 2021 Reserve Capacity Auction, ANEEL)</t>
        </is>
      </c>
      <c r="D8" s="13" t="inlineStr">
        <is>
          <t>Regulated capacity auction PPA (inflation-indexed fixed revenue)</t>
        </is>
      </c>
      <c r="E8" s="13" t="inlineStr">
        <is>
          <t>Not fully specified in accessible sources</t>
        </is>
      </c>
      <c r="F8" s="13" t="inlineStr">
        <is>
          <t>Long-term; PPAs begin (early start) from 2026</t>
        </is>
      </c>
      <c r="G8" s="13" t="inlineStr">
        <is>
          <t>Early start of PPAs from the 2021 Reserve Capacity Auction (LRCAP 2021) reportedly adds ~R$360 million/year of inflation-indexed fixed revenue beginning 2026.</t>
        </is>
      </c>
      <c r="H8" s="14" t="inlineStr">
        <is>
          <t>https://api.mziq.com/mzfilemanager/v2/d/6c663f3b-ae5a-4692-81d3-ab23ee84c1de/d2d3f5f1-a230-ca7f-9e6b-b1057e121d5c?origin=1</t>
        </is>
      </c>
      <c r="I8" s="13" t="inlineStr">
        <is>
          <t>Attributed to Eneva 2Q25 Earnings Release (official, mziq server). The R$360m/yr figure could NOT be independently re-verified in this session because the mziq host is blocked by the egress proxy (HTTP 403) and no third-party source surfaced the exact figure. Retained from the draft as reasonable but flagged LOW confidence pending direct confirmation of the release.</t>
        </is>
      </c>
    </row>
    <row r="9" ht="70" customHeight="1">
      <c r="A9" s="12" t="inlineStr">
        <is>
          <t>ENEV3 BZ</t>
        </is>
      </c>
      <c r="B9" s="13" t="inlineStr">
        <is>
          <t>Eneva S.A.</t>
        </is>
      </c>
      <c r="C9" s="13" t="inlineStr">
        <is>
          <t>White Martins (industrial gases)</t>
        </is>
      </c>
      <c r="D9" s="13" t="inlineStr">
        <is>
          <t>Corporate PPA (free market / ACL), solar</t>
        </is>
      </c>
      <c r="E9" s="13" t="inlineStr">
        <is>
          <t>~100.6 average MW of renewable energy</t>
        </is>
      </c>
      <c r="F9" s="13" t="inlineStr">
        <is>
          <t>2023-2035</t>
        </is>
      </c>
      <c r="G9" s="13" t="inlineStr">
        <is>
          <t>Corporate offtake of solar energy from the Futura I complex to White Martins, ~100.6 avg MW.</t>
        </is>
      </c>
      <c r="H9" s="14" t="inlineStr">
        <is>
          <t>https://canalsolar.com.br/en/eneva-markets-all-future-solar-complex-energy/</t>
        </is>
      </c>
      <c r="I9" s="13" t="inlineStr">
        <is>
          <t>CONFIRMED via search snippets of Canal Solar (third-party): 'White Martins is expected to receive an average of 100.6 MW of renewable energy from 2023 to 2035.' Consistent across multiple reports. Page not directly fetchable (egress blocked) but content verified in search results.</t>
        </is>
      </c>
    </row>
    <row r="10" ht="70" customHeight="1">
      <c r="A10" s="12" t="inlineStr">
        <is>
          <t>ENEV3 BZ</t>
        </is>
      </c>
      <c r="B10" s="13" t="inlineStr">
        <is>
          <t>Eneva S.A.</t>
        </is>
      </c>
      <c r="C10" s="13" t="inlineStr">
        <is>
          <t>SiCBRAS (and other industrial ACL offtakers incl. Vallourec, Liasa)</t>
        </is>
      </c>
      <c r="D10" s="13" t="inlineStr">
        <is>
          <t>Corporate PPA (free market / ACL), solar</t>
        </is>
      </c>
      <c r="E10" s="13" t="inlineStr">
        <is>
          <t>SiCBRAS: 76 MWp (two plants of SPE Futura 6); part of full commercialization of the 837 MWp complex</t>
        </is>
      </c>
      <c r="F10" s="13" t="inlineStr">
        <is>
          <t>15 years (SiCBRAS contract)</t>
        </is>
      </c>
      <c r="G10" s="13" t="inlineStr">
        <is>
          <t>With the SiCBRAS contract (Dec 2024) Eneva declared full commercialization ('soldout') of the 837 MWp Futura I complex, generating ~R$4 billion of contracted revenue. Other offtakers include White Martins, Vallourec and Liasa.</t>
        </is>
      </c>
      <c r="H10" s="14" t="inlineStr">
        <is>
          <t>https://canalsolar.com.br/en/eneva-markets-all-future-solar-complex-energy/</t>
        </is>
      </c>
      <c r="I10" s="13" t="inlineStr">
        <is>
          <t>CONFIRMED via search snippets of Canal Solar and Cenario Energia (third-party) and Eneva's own press release: SiCBRAS contract = 76 MWp over 15 years; full commercialization of 837 MWp generating ~R$4bn. Content verified in search results; pages not directly fetched (egress blocked).</t>
        </is>
      </c>
    </row>
    <row r="11" ht="70" customHeight="1">
      <c r="A11" s="12" t="inlineStr">
        <is>
          <t>ENEV3 BZ</t>
        </is>
      </c>
      <c r="B11" s="13" t="inlineStr">
        <is>
          <t>Eneva S.A.</t>
        </is>
      </c>
      <c r="C11" s="13" t="inlineStr">
        <is>
          <t>Regulated distributors / free market (contracts attached to acquired BTG asset - Luiz Oscar Rodrigues de Melo plant)</t>
        </is>
      </c>
      <c r="D11" s="13" t="inlineStr">
        <is>
          <t>Mixed ACR/ACL PPAs (plant is diesel-fired)</t>
        </is>
      </c>
      <c r="E11" s="13" t="inlineStr">
        <is>
          <t>35 MW (to Jan 2026); 96 MW (to Dec 2025); 191 MW (Jul 2026 - Jun 2041)</t>
        </is>
      </c>
      <c r="F11" s="13" t="inlineStr">
        <is>
          <t>Staggered: near-term contracts to 2025/2026 plus a long-term 191 MW contract Jul 2026 - Jun 2041</t>
        </is>
      </c>
      <c r="G11" s="13" t="inlineStr">
        <is>
          <t>Contracted-capacity profile of the Luiz Oscar Rodrigues de Melo plant (part of the July 2024 BTG asset acquisition). Note this unit is diesel-fired, not gas.</t>
        </is>
      </c>
      <c r="H11" s="14" t="inlineStr">
        <is>
          <t>https://www.eneva.com.br/en/our-operations/power-generation/</t>
        </is>
      </c>
      <c r="I11" s="13" t="inlineStr">
        <is>
          <t>Contract tranches (35/96/191 MW with dates) attributed to Eneva materials; official in origin but NOT directly fetchable (egress blocked) and not independently corroborated by an accessible third-party source in this session. Retained from draft at LOW-MEDIUM confidence.</t>
        </is>
      </c>
    </row>
    <row r="12" ht="70" customHeight="1">
      <c r="A12" s="7" t="inlineStr">
        <is>
          <t>EGIE3 BZ</t>
        </is>
      </c>
      <c r="B12" s="8" t="inlineStr">
        <is>
          <t>Engie Brasil Energia S.A.</t>
        </is>
      </c>
      <c r="C12" s="8" t="inlineStr">
        <is>
          <t>Various / regulated auctions (Aneel-organized ACR auctions)</t>
        </is>
      </c>
      <c r="D12" s="8" t="inlineStr">
        <is>
          <t>Regulated market (ACR) auction PPAs</t>
        </is>
      </c>
      <c r="E12" s="8" t="inlineStr">
        <is>
          <t>~1,822 avg MW (2025, ~34% of contracted); ~1,813 avg MW (2026); ~1,803 avg MW (2027 &amp; 2028)</t>
        </is>
      </c>
      <c r="F12" s="8" t="inlineStr">
        <is>
          <t>Long-term regulated auction contracts; forward contracted position for calendar years 2025-2028</t>
        </is>
      </c>
      <c r="G12" s="8" t="inlineStr">
        <is>
          <t>ENGIE sells energy in the Regulated Contracting Environment (ACR) via Aneel auctions; forward contracted position broadly stable at ~1.8 GW average per year through 2028. Newly acquired hydropower plants (Jaguara/Miranda) are fully contracted in the ACR.</t>
        </is>
      </c>
      <c r="H12" s="9" t="inlineStr">
        <is>
          <t>https://www.engie.com.br/wp-content/uploads/2025/11/Fact-Sheet-3T25_ENG.pdf</t>
        </is>
      </c>
      <c r="I12" s="8" t="inlineStr">
        <is>
          <t>Official ENGIE Brasil Energia 3Q25 Fact Sheet, 'Contracted Energy Position / Balance' table. NOTE: the exact table MW figures could NOT be independently re-confirmed this pass - the PDF is not directly fetchable (org egress policy 403) and web-search excerpts did not surface the per-year table cells; figures are carried from the draft, which sourced them to this official PDF. Treat the precise per-year MW as medium confidence; the ~1.8 GW/yr ACR order of magnitude is consistent with the company's disclosed sales portfolio.</t>
        </is>
      </c>
    </row>
    <row r="13" ht="70" customHeight="1">
      <c r="A13" s="7" t="inlineStr">
        <is>
          <t>EGIE3 BZ</t>
        </is>
      </c>
      <c r="B13" s="8" t="inlineStr">
        <is>
          <t>Engie Brasil Energia S.A.</t>
        </is>
      </c>
      <c r="C13" s="8" t="inlineStr">
        <is>
          <t>Various free consumers and traders (ACL)</t>
        </is>
      </c>
      <c r="D13" s="8" t="inlineStr">
        <is>
          <t>Free market (ACL) bilateral / corporate PPAs</t>
        </is>
      </c>
      <c r="E13" s="8" t="inlineStr">
        <is>
          <t>~2,443 avg MW (2025, ~46%); ~1,885 avg MW (2026); ~1,348 avg MW (2027); ~555 avg MW (2028)</t>
        </is>
      </c>
      <c r="F13" s="8" t="inlineStr">
        <is>
          <t>Bilateral long-term contracts; declining forward position (open/decontracted volume rising toward 2028)</t>
        </is>
      </c>
      <c r="G13" s="8" t="inlineStr">
        <is>
          <t>ENGIE sells directly to end consumers/traders in the Free Contracting Environment (ACL). Total energy commercialized reached 4,559 average MW in 2025, +11% vs 2024 (CONFIRMED via 2025 results press release). Forward ACL position declines 2025-2028, leaving open volume for future sales. Assu Sol solar output (229.6 avg MW) is fully earmarked to the ACL.</t>
        </is>
      </c>
      <c r="H13" s="9" t="inlineStr">
        <is>
          <t>https://www.engie.com.br/wp-content/uploads/2025/11/Fact-Sheet-3T25_ENG.pdf</t>
        </is>
      </c>
      <c r="I13" s="8" t="inlineStr">
        <is>
          <t>Official 3Q25 Fact Sheet 'Contracted Energy Position' table for the per-year MW (not independently re-confirmed via snippet - see ACR note). The 2025 commercialized volume of 4,559 avg MW (+11% vs 2024) was CONFIRMED via web-search excerpt of the official '2025 results / grows 14.6% in revenue' press release (engie.com.br). Note: the draft's '+24% customer-base' and 2024 '~7.5% free-market share / +31.7% free consumers' figures are from the FY2024 Management Report and were not re-verified this pass.</t>
        </is>
      </c>
    </row>
    <row r="14" ht="70" customHeight="1">
      <c r="A14" s="7" t="inlineStr">
        <is>
          <t>EGIE3 BZ</t>
        </is>
      </c>
      <c r="B14" s="8" t="inlineStr">
        <is>
          <t>Engie Brasil Energia S.A.</t>
        </is>
      </c>
      <c r="C14" s="8" t="inlineStr">
        <is>
          <t>Structural / long-term supply</t>
        </is>
      </c>
      <c r="D14" s="8" t="inlineStr">
        <is>
          <t>Structural (long-term) contracts</t>
        </is>
      </c>
      <c r="E14" s="8" t="inlineStr">
        <is>
          <t>~521 avg MW per year (~10% of position, 2025-2028)</t>
        </is>
      </c>
      <c r="F14" s="8" t="inlineStr">
        <is>
          <t>Long-term structural contracts</t>
        </is>
      </c>
      <c r="G14" s="8" t="inlineStr">
        <is>
          <t>A stable ~521 avg MW 'Structural' block reported each year 2025-2028 within the contracted-position table, plus a GSF hedge/available (open) block that rises toward ~2,244 avg MW available/open by 2028.</t>
        </is>
      </c>
      <c r="H14" s="9" t="inlineStr">
        <is>
          <t>https://www.engie.com.br/wp-content/uploads/2025/11/Fact-Sheet-3T25_ENG.pdf</t>
        </is>
      </c>
      <c r="I14" s="8" t="inlineStr">
        <is>
          <t>Official 3Q25 Fact Sheet 'Contracted Energy Position' table. Same fetch caveat as the ACR/ACL rows - carried from the draft's reading of the official PDF; not independently re-confirmed via search excerpt.</t>
        </is>
      </c>
    </row>
    <row r="15" ht="70" customHeight="1">
      <c r="A15" s="7" t="inlineStr">
        <is>
          <t>EGIE3 BZ</t>
        </is>
      </c>
      <c r="B15" s="8" t="inlineStr">
        <is>
          <t>Engie Brasil Energia S.A.</t>
        </is>
      </c>
      <c r="C15" s="8" t="inlineStr">
        <is>
          <t>Aggregate (all markets)</t>
        </is>
      </c>
      <c r="D15" s="8" t="inlineStr">
        <is>
          <t>Total energy sales (ACR + ACL, excl. trading)</t>
        </is>
      </c>
      <c r="E15" s="8" t="inlineStr">
        <is>
          <t>36,064 GWh (4,106 average MW) sold in FY2024</t>
        </is>
      </c>
      <c r="F15" s="8" t="inlineStr">
        <is>
          <t>FY2024</t>
        </is>
      </c>
      <c r="G15" s="8" t="inlineStr">
        <is>
          <t>Total energy sold in 2024 was 36,064 GWh (4,106 average MW), +0.4% vs 2023, excluding trading operations. For context, energy commercialized rose to 4,559 average MW in 2025.</t>
        </is>
      </c>
      <c r="H15" s="9" t="inlineStr">
        <is>
          <t>https://www.engie.com.br/wp-content/uploads/2025/03/DF-EBE-31.12.2024-versao-ingles.pdf</t>
        </is>
      </c>
      <c r="I15" s="8" t="inlineStr">
        <is>
          <t>Official FY2024 &amp; 2023 Management Report and Financial Statements (English). The FY2024 36,064 GWh figure is carried from the draft's reading of this official PDF (not directly fetchable this pass); the related 2025 figure of 4,559 avg MW was independently CONFIRMED via the 2025 results press-release excerpt.</t>
        </is>
      </c>
    </row>
    <row r="16" ht="70" customHeight="1">
      <c r="A16" s="12" t="inlineStr">
        <is>
          <t>ENELGXCH CI</t>
        </is>
      </c>
      <c r="B16" s="13" t="inlineStr">
        <is>
          <t>Enel Generación Chile S.A.</t>
        </is>
      </c>
      <c r="C16" s="13" t="inlineStr">
        <is>
          <t>Chilean regulated distribution companies (via national/international supply tender 2023/01, run by CNE)</t>
        </is>
      </c>
      <c r="D16" s="13" t="inlineStr">
        <is>
          <t>Regulated distribution supply PPA (ACR) awarded through competitive national/international supply tender</t>
        </is>
      </c>
      <c r="E16" s="13" t="inlineStr">
        <is>
          <t>3,600 GWh/year (approx. 411 avg MW): Block 1 = 1,500 GWh + Block 2 = 2,100 GWh, across all three zonal systems and all hourly sub-blocks</t>
        </is>
      </c>
      <c r="F16" s="13" t="inlineStr">
        <is>
          <t>20-year PPAs: Block 1 runs 1 Jan 2027 – 31 Dec 2046; Block 2 runs 1 Jan 2028 – 31 Dec 2047</t>
        </is>
      </c>
      <c r="G16" s="13" t="inlineStr">
        <is>
          <t>Enel Generación Chile was the SOLE winner of the 2023/01 regulated supply tender (awarded May 2024), taking the entire 3,600 GWh/yr on offer at an awarded price of US$56.679/MWh. Enel's winning offer was backed by 15 renewable parks (2,802 MW) plus 5 natural-gas thermal plants (1,959 MW). CORRECTION vs draft: draft stated 'supply period begins 2025' — this is WRONG; per the official CNE tender, supply begins 1 Jan 2027 (Block 1) and 1 Jan 2028 (Block 2), each for 20 years. Also corrected the primary source from trade press to the CNE government press release.</t>
        </is>
      </c>
      <c r="H16" s="14" t="inlineStr">
        <is>
          <t>https://www.cne.cl/en/prensa/prensa-2024/5-mayo-de-2024/licitacion-de-suministro-electrico-a-clientes-regulados-alcanzo-precio-de-56679us-mwh/</t>
        </is>
      </c>
      <c r="I16" s="13" t="inlineStr">
        <is>
          <t>Comisión Nacional de Energía (CNE, Chile — official government regulator) press release, May 2024: 'Licitación de suministro eléctrico a clientes regulados alcanzó precio de 56,679 US$/MWh.' Confirms Enel Generación as sole winner of the 2023/01 tender, 3,600 GWh/yr (blocks of 1,500 + 2,100 GWh), price US$56.679/MWh, supply from 2027/2028. Also corroborated by renewablesnow.com and the official tender portal licitacioneselectricas.cl (Block 1: 2027-2046; Block 2: 2028-2047). Direct WebFetch of CNE/renewablesnow returned HTTP 403 (egress policy); confirmed via web-search extractions. NOTE: draft's pv-magazine (Dec 2025) citation actually refers to a DIFFERENT, later 'exceptional' tender (~1,470 GWh for 2026 at ~US$98.7/MWh) and does not support the 2023/01 figures — removed from this PPA.</t>
        </is>
      </c>
    </row>
    <row r="17" ht="70" customHeight="1">
      <c r="A17" s="12" t="inlineStr">
        <is>
          <t>ENELGXCH CI</t>
        </is>
      </c>
      <c r="B17" s="13" t="inlineStr">
        <is>
          <t>Enel Generación Chile S.A.</t>
        </is>
      </c>
      <c r="C17" s="13" t="inlineStr">
        <is>
          <t>Various — regulated distributors (ACR) and free-market/unregulated clients (ACL)</t>
        </is>
      </c>
      <c r="D17" s="13" t="inlineStr">
        <is>
          <t>Portfolio of long-term energy supply contracts (regulated-auction PPAs plus free-market bilateral contracts)</t>
        </is>
      </c>
      <c r="E17" s="13" t="inlineStr">
        <is>
          <t>Not individually disclosed on sources located</t>
        </is>
      </c>
      <c r="F17" s="13" t="inlineStr">
        <is>
          <t>Mixed; regulated auction PPAs typically 15–20 years</t>
        </is>
      </c>
      <c r="G17" s="13" t="inlineStr">
        <is>
          <t>As one of Chile's leading generators, Enel Generación Chile sells output under a mix of regulated-auction PPAs with distribution companies and bilateral free-market contracts with industrial/commercial customers. Full contract-by-contract terms are set out in the 2024 Memoria Anual Integrada Enel Generación; specific per-contract figures could not be extracted (direct fetch blocked, HTTP 403).</t>
        </is>
      </c>
      <c r="H17" s="14" t="inlineStr">
        <is>
          <t>https://www.enel.cl/en/investors/investor-enel-generacion/reports/annual-reports.html</t>
        </is>
      </c>
      <c r="I17" s="13" t="inlineStr">
        <is>
          <t>Enel Generación Chile Investor Relations / 2024 Memoria Anual Integrada Enel Generación (official). General characterization; specific per-contract figures not extractable via search snippets and direct fetch was blocked (HTTP 403).</t>
        </is>
      </c>
    </row>
    <row r="18" ht="70" customHeight="1">
      <c r="A18" s="7" t="inlineStr">
        <is>
          <t>COLBUN CI</t>
        </is>
      </c>
      <c r="B18" s="8" t="inlineStr">
        <is>
          <t>Colbún S.A.</t>
        </is>
      </c>
      <c r="C18" s="8" t="inlineStr">
        <is>
          <t>Chilean regulated distribution companies (via CNE/regulated auctions)</t>
        </is>
      </c>
      <c r="D18" s="8" t="inlineStr">
        <is>
          <t>Regulated-market long-term PPAs (typically 15-year distribution supply contracts awarded in government auctions)</t>
        </is>
      </c>
      <c r="E18" s="8" t="inlineStr">
        <is>
          <t>Multiple blocks; draft cites Colbún bidding in Chile's 2026/01 tender (~2,835 GWh/yr on offer)</t>
        </is>
      </c>
      <c r="F18" s="8" t="inlineStr">
        <is>
          <t>Typically 15 years from supply start</t>
        </is>
      </c>
      <c r="G18" s="8" t="inlineStr">
        <is>
          <t>Colbún is a core supplier to Chile's regulated (distribution) market; long-term auction PPAs provide the bulk of stable, indexed revenue. Viewed as a frontrunner (with Engie and Enel) in the 2026 supply tender.</t>
        </is>
      </c>
      <c r="H18" s="9" t="inlineStr">
        <is>
          <t>https://colbun.cl/docs/default-source/documentos-inversionistas/resultados-trimestrales/2025/1t25/earnings-report-1q25.pdf</t>
        </is>
      </c>
      <c r="I18" s="8" t="inlineStr">
        <is>
          <t>Colbún 1Q25 Earnings Report (commercial/contracted-sales section) — official for the business model; tender specifics (2,835 GWh/yr; 15-yr term) from third-party trade press (energiaestrategica.com, Diario Financiero) — non-official. NOT re-verified this pass (all external hosts HTTP 403; WebSearch budget exhausted). Retained from draft.</t>
        </is>
      </c>
    </row>
    <row r="19" ht="70" customHeight="1">
      <c r="A19" s="7" t="inlineStr">
        <is>
          <t>COLBUN CI</t>
        </is>
      </c>
      <c r="B19" s="8" t="inlineStr">
        <is>
          <t>Colbún S.A.</t>
        </is>
      </c>
      <c r="C19" s="8" t="inlineStr">
        <is>
          <t>Free-market clients (ACL) in Chile</t>
        </is>
      </c>
      <c r="D19" s="8" t="inlineStr">
        <is>
          <t>Free-market bilateral PPAs / commercial supply contracts</t>
        </is>
      </c>
      <c r="E19" s="8" t="inlineStr">
        <is>
          <t>Existing free-market block reported at ~5,040 GWh/yr; plus new 1Q25 contracts with 68 clients totaling ~693 GWh/yr</t>
        </is>
      </c>
      <c r="F19" s="8" t="inlineStr">
        <is>
          <t>Various; large block cited as running to ~2032</t>
        </is>
      </c>
      <c r="G19" s="8" t="inlineStr">
        <is>
          <t>Colbún holds a substantial portfolio of free-market (unregulated industrial/commercial) supply contracts. In 1Q25 it signed PPAs with 68 new clients in Chile (~693 GWh/yr).</t>
        </is>
      </c>
      <c r="H19" s="9" t="inlineStr">
        <is>
          <t>https://colbun.cl/docs/default-source/documentos-inversionistas/resultados-trimestrales/2025/1t25/earnings-report-1q25.pdf</t>
        </is>
      </c>
      <c r="I19" s="8" t="inlineStr">
        <is>
          <t>1Q25 new-client figure (68 clients / 693 GWh/yr) from Colbún 1Q25 Earnings Report — official. The ~5,040 GWh/yr-to-2032 block is from third-party press (Diario Financiero) — non-official; indicative only. NOT re-verified this pass (external hosts HTTP 403; WebSearch exhausted). Retained from draft.</t>
        </is>
      </c>
    </row>
    <row r="20" ht="70" customHeight="1">
      <c r="A20" s="7" t="inlineStr">
        <is>
          <t>COLBUN CI</t>
        </is>
      </c>
      <c r="B20" s="8" t="inlineStr">
        <is>
          <t>Colbún S.A.</t>
        </is>
      </c>
      <c r="C20" s="8" t="inlineStr">
        <is>
          <t>Free-market clients in Peru (via Fenix Power)</t>
        </is>
      </c>
      <c r="D20" s="8" t="inlineStr">
        <is>
          <t>Free-market electricity supply contracts (Peru)</t>
        </is>
      </c>
      <c r="E20" s="8" t="inlineStr">
        <is>
          <t>22 new clients for ~55.4 MW/yr (signed in 1Q25); earlier tranche ~23.3 MW/yr</t>
        </is>
      </c>
      <c r="F20" s="8" t="inlineStr">
        <is>
          <t>Multi-year supply contracts</t>
        </is>
      </c>
      <c r="G20" s="8" t="inlineStr">
        <is>
          <t>Through Peruvian subsidiary Fenix Power Perú (Colbún reached 100% ownership in 2025), Colbún supplies regulated and free-market clients in Peru. In 1Q25 it secured supply contracts with 22 clients for ~55.4 MW/yr.</t>
        </is>
      </c>
      <c r="H20" s="9" t="inlineStr">
        <is>
          <t>https://colbun.cl/docs/default-source/documentos-inversionistas/resultados-trimestrales/2025/1t25/earnings-report-1q25.pdf</t>
        </is>
      </c>
      <c r="I20" s="8" t="inlineStr">
        <is>
          <t>Colbún 1Q25 Earnings Report, Peru commercial section — official. Fenix 100% ownership per Colbún press release 29-Apr-2025. NOT re-verified this pass (external hosts HTTP 403; WebSearch exhausted). Retained from draft.</t>
        </is>
      </c>
    </row>
    <row r="21" ht="70" customHeight="1">
      <c r="A21" s="7" t="inlineStr">
        <is>
          <t>COLBUN CI</t>
        </is>
      </c>
      <c r="B21" s="8" t="inlineStr">
        <is>
          <t>Colbún S.A.</t>
        </is>
      </c>
      <c r="C21" s="8" t="inlineStr">
        <is>
          <t>Total / SunPower (project developer; Colbún as offtaker)</t>
        </is>
      </c>
      <c r="D21" s="8" t="inlineStr">
        <is>
          <t>Corporate PPA / offtake — Colbún as buyer from a third-party PV project</t>
        </is>
      </c>
      <c r="E21" s="8" t="inlineStr">
        <is>
          <t>164 MW PV project</t>
        </is>
      </c>
      <c r="F21" s="8" t="inlineStr">
        <is>
          <t>Long-term (not disclosed in detail)</t>
        </is>
      </c>
      <c r="G21" s="8" t="inlineStr">
        <is>
          <t>Colbún awarded a PPA to a Total/SunPower-developed 164 MW solar PV project in Chile, i.e. Colbún purchasing renewable energy to serve its supply commitments.</t>
        </is>
      </c>
      <c r="H21" s="9" t="inlineStr">
        <is>
          <t>https://www.pv-tech.org/total-and-sunpower-win-ppa-for-164mw-chile-pv-project-from-colbun/</t>
        </is>
      </c>
      <c r="I21" s="8" t="inlineStr">
        <is>
          <t>PV-Tech news article — third-party / non-official; directional only. NOT re-verified this pass (external hosts HTTP 403; WebSearch exhausted). Retained from draft. This is the weakest-sourced item and could not be upgraded to an official source in this environment.</t>
        </is>
      </c>
    </row>
    <row r="22" ht="70" customHeight="1">
      <c r="A22" s="12" t="inlineStr">
        <is>
          <t>AURE3 BZ</t>
        </is>
      </c>
      <c r="B22" s="13" t="inlineStr">
        <is>
          <t>Auren Energia S.A.</t>
        </is>
      </c>
      <c r="C22" s="13" t="inlineStr">
        <is>
          <t>Equinix (Brazil data centers)</t>
        </is>
      </c>
      <c r="D22" s="13" t="inlineStr">
        <is>
          <t>Free-market (ACL) self-production / long-term wind PPA</t>
        </is>
      </c>
      <c r="E22" s="13" t="inlineStr">
        <is>
          <t>&gt;53 MW (two wind projects in Rio Grande do Norte)</t>
        </is>
      </c>
      <c r="F22" s="13" t="inlineStr">
        <is>
          <t>Long-term; energy supply beginning 2026</t>
        </is>
      </c>
      <c r="G22" s="13" t="inlineStr">
        <is>
          <t>Reported Mar 2026: Equinix's first self-production PPA in Latin America, involving two Auren wind projects in Rio Grande do Norte totaling &gt;53 MW to supply Equinix data-center/AI expansion in Brazil with renewable energy.</t>
        </is>
      </c>
      <c r="H22" s="14" t="inlineStr">
        <is>
          <t>https://www.datacenterdynamics.com/en/news/equinix-signs-self-generation-agreement-with-auren-energia/</t>
        </is>
      </c>
      <c r="I22" s="13" t="inlineStr">
        <is>
          <t>Third-party (Data Center Dynamics, BNamericas, Cenário Energia). NON-OFFICIAL. NOT RE-VERIFIED: datacenterdynamics.com returned HTTP 403 policy denial this pass and WebSearch budget was exhausted; details carried from draft. Confidence medium (multiple concurring outlets per draft, but not independently re-confirmed and not an official Auren disclosure).</t>
        </is>
      </c>
    </row>
    <row r="23" ht="70" customHeight="1">
      <c r="A23" s="12" t="inlineStr">
        <is>
          <t>AURE3 BZ</t>
        </is>
      </c>
      <c r="B23" s="13" t="inlineStr">
        <is>
          <t>Auren Energia S.A.</t>
        </is>
      </c>
      <c r="C23" s="13" t="inlineStr">
        <is>
          <t>Various / regulated distributors via ANEEL/CCEE auctions (ACR)</t>
        </is>
      </c>
      <c r="D23" s="13" t="inlineStr">
        <is>
          <t>Regulated (ACR) auction PPA (CCEAR) - Existing Energy auction</t>
        </is>
      </c>
      <c r="E23" s="13" t="inlineStr">
        <is>
          <t>5 avg MW (MW médios)</t>
        </is>
      </c>
      <c r="F23" s="13" t="inlineStr">
        <is>
          <t>Supply in 2026 and 2027</t>
        </is>
      </c>
      <c r="G23" s="13" t="inlineStr">
        <is>
          <t>Per management commentary around FY2025/4T25 results, Auren allocated ~5 avg MW of new ACR sales in an Existing Energy auction, delivering 2026-2027 in the Northeast (NE) submarket.</t>
        </is>
      </c>
      <c r="H23" s="14" t="inlineStr">
        <is>
          <t>https://www.moneytimes.com.br/auren-energia-tem-lucro-no-4t25-ve-oportunidade-nos-leiloes-e-trading-rnda/</t>
        </is>
      </c>
      <c r="I23" s="13" t="inlineStr">
        <is>
          <t>Third-party (Money Times) reporting Auren 4T25 management commentary. NON-OFFICIAL. NOT RE-VERIFIED: moneytimes.com.br returned HTTP 403 policy denial this pass; carried from draft. Confidence low-medium.</t>
        </is>
      </c>
    </row>
    <row r="24" ht="70" customHeight="1">
      <c r="A24" s="12" t="inlineStr">
        <is>
          <t>AURE3 BZ</t>
        </is>
      </c>
      <c r="B24" s="13" t="inlineStr">
        <is>
          <t>Auren Energia S.A.</t>
        </is>
      </c>
      <c r="C24" s="13" t="inlineStr">
        <is>
          <t>Undisclosed offtaker (USD-indexed long-term sale)</t>
        </is>
      </c>
      <c r="D24" s="13" t="inlineStr">
        <is>
          <t>Free-market (ACL) long-term PPA, USD-linked price</t>
        </is>
      </c>
      <c r="E24" s="13" t="inlineStr">
        <is>
          <t>150 avg MW (MW médios)</t>
        </is>
      </c>
      <c r="F24" s="13" t="inlineStr">
        <is>
          <t>Long-term (specific years not disclosed in source)</t>
        </is>
      </c>
      <c r="G24" s="13" t="inlineStr">
        <is>
          <t>Auren reportedly transferred a long-term USD-priced 150 avg MW sale contract from its generation segment to its trading (comercialização) segment, indicating a sizeable existing long-term ACL PPA in the portfolio.</t>
        </is>
      </c>
      <c r="H24" s="14" t="inlineStr">
        <is>
          <t>https://www.moneytimes.com.br/auren-energia-tem-lucro-no-4t25-ve-oportunidade-nos-leiloes-e-trading-rnda/</t>
        </is>
      </c>
      <c r="I24" s="13" t="inlineStr">
        <is>
          <t>Third-party (Money Times) management-commentary reporting. NON-OFFICIAL. NOT RE-VERIFIED: source returned HTTP 403 policy denial this pass; carried from draft. Confidence low-medium.</t>
        </is>
      </c>
    </row>
    <row r="25" ht="70" customHeight="1">
      <c r="A25" s="7" t="inlineStr">
        <is>
          <t>PEHUEN CI</t>
        </is>
      </c>
      <c r="B25" s="8" t="inlineStr">
        <is>
          <t>Empresa Eléctrica Pehuenche S.A.</t>
        </is>
      </c>
      <c r="C25" s="8" t="inlineStr">
        <is>
          <t>Enel Generación Chile S.A. (parent company)</t>
        </is>
      </c>
      <c r="D25" s="8" t="inlineStr">
        <is>
          <t>Long-term intra-group energy and power sale contract (bilateral PPA with parent, which on-sells to regulated/free customers)</t>
        </is>
      </c>
      <c r="E25" s="8" t="inlineStr">
        <is>
          <t>~1,500 GWh/yr energy and ~500 MW power (per 2018 disclosure); a 500 GWh energy contract still in force per 2022 financial statements</t>
        </is>
      </c>
      <c r="F25" s="8" t="inlineStr">
        <is>
          <t>Historically valid to 31 Dec 2021 (energy) and 31 Dec 2024 (power/energy); the 500 GWh contract disclosed in the 2022 financials ran to 31 Dec 2024</t>
        </is>
      </c>
      <c r="G25" s="8" t="inlineStr">
        <is>
          <t>Pehuenche sells substantially all of its output to its parent Enel Generación Chile under bilateral contracts, representing roughly 76.8% of ordinary revenue as of 31 Dec 2018. Enel Generación Chile (not Pehuenche) is the direct counterparty in Chile's regulated supply auctions. Post-2024 renewal terms could not be verified from an official 2024/2025 document. Medium-low confidence — historical figures only, not re-verified this pass (source PDFs on enel.cl and cmfchile.cl both blocked by egress policy, HTTP 403).</t>
        </is>
      </c>
      <c r="H25" s="9" t="inlineStr">
        <is>
          <t>https://www.enel.cl/content/dam/enel-cl/inversionistas/enel-generacion-chile/filiales/pehuenche-sa/gobierno-coporativo/estados-financieros/2022/EEFF-Pehuenche-202212.pdf</t>
        </is>
      </c>
      <c r="I25" s="8" t="inlineStr">
        <is>
          <t>Company financial statements filed with CMF Chile / published on enel.cl (EEFF-Pehuenche-202212.pdf and EEFF-Pehuenche-2019.pdf). 2018 figures (1,500 GWh + 500 MW to Enel Generación Chile, ~76.79% of ordinary income) and the 2022-disclosed 500 GWh contract valid to 31 Dec 2024. NOT re-fetched this pass — both enel.cl and cmfchile.cl are blocked by this session's egress policy (HTTP 403). Most recent (2024/2025) contract terms not independently confirmed.</t>
        </is>
      </c>
    </row>
    <row r="26" ht="70" customHeight="1">
      <c r="A26" s="12" t="inlineStr">
        <is>
          <t>CELSIA CB</t>
        </is>
      </c>
      <c r="B26" s="13" t="inlineStr">
        <is>
          <t>Celsia S.A. E.S.P.</t>
        </is>
      </c>
      <c r="C26" s="13" t="inlineStr">
        <is>
          <t>Various / regulated (ACR) and non-regulated (ACL) market</t>
        </is>
      </c>
      <c r="D26" s="13" t="inlineStr">
        <is>
          <t>Long-term bilateral energy sale contracts (contratos de compraventa de energía a largo plazo) plus short-term sales via the wholesale energy exchange (bolsa de energía)</t>
        </is>
      </c>
      <c r="E26" s="13" t="inlineStr">
        <is>
          <t>Portfolio-level; generation output of Celsia's plants</t>
        </is>
      </c>
      <c r="F26" s="13" t="inlineStr">
        <is>
          <t>Long-term (multi-year) plus spot</t>
        </is>
      </c>
      <c r="G26" s="13" t="inlineStr">
        <is>
          <t>Celsia's disclosed commercial model: sells generation under long-term purchase-sale contracts and complements with short-term sales on the energy exchange, serving ~1.3 million clients across Colombia and Central America.</t>
        </is>
      </c>
      <c r="H26" s="14" t="inlineStr">
        <is>
          <t>https://www.celsia.com/es/quienes-somos/que-hacemos/</t>
        </is>
      </c>
      <c r="I26" s="13" t="inlineStr">
        <is>
          <t>Official Celsia 'Qué hacemos' page and 2022/2023 Integrated Report Commercialization sections. NOT re-verified (celsia.com HTTP 403 policy denial). Structural disclosure, retained.</t>
        </is>
      </c>
    </row>
    <row r="27" ht="70" customHeight="1">
      <c r="A27" s="12" t="inlineStr">
        <is>
          <t>CELSIA CB</t>
        </is>
      </c>
      <c r="B27" s="13" t="inlineStr">
        <is>
          <t>Celsia S.A. E.S.P.</t>
        </is>
      </c>
      <c r="C27" s="13" t="inlineStr">
        <is>
          <t>Regulated market via CREG long-term renewable-energy auction (Subasta de Energía Renovable)</t>
        </is>
      </c>
      <c r="D27" s="13" t="inlineStr">
        <is>
          <t>Regulated 15-year renewable PPA awarded in national auction</t>
        </is>
      </c>
      <c r="E27" s="13" t="inlineStr">
        <is>
          <t>264 GWh/year</t>
        </is>
      </c>
      <c r="F27" s="13" t="inlineStr">
        <is>
          <t>15 years</t>
        </is>
      </c>
      <c r="G27" s="13" t="inlineStr">
        <is>
          <t>Celsia awarded 264 GWh/year in 15-year contracts in Colombia's long-term renewable-energy auction, ~10% of its energy needs.</t>
        </is>
      </c>
      <c r="H27" s="14" t="inlineStr">
        <is>
          <t>https://www.celsia.com/en/noticias/nuevos-proyectos-eolicos-de-celsia-aportaran-el-18-de-la-electricidad-adjudicada-en-la-subasta-de-energias-renovables/</t>
        </is>
      </c>
      <c r="I27" s="13" t="inlineStr">
        <is>
          <t>Celsia news release / 2022 Integrated Report. NOT re-verified (celsia.com HTTP 403). Retained; medium confidence.</t>
        </is>
      </c>
    </row>
    <row r="28" ht="70" customHeight="1">
      <c r="A28" s="12" t="inlineStr">
        <is>
          <t>CELSIA CB</t>
        </is>
      </c>
      <c r="B28" s="13" t="inlineStr">
        <is>
          <t>Celsia S.A. E.S.P.</t>
        </is>
      </c>
      <c r="C28" s="13" t="inlineStr">
        <is>
          <t>Colombian renewable-energy auction (regulated offtake)</t>
        </is>
      </c>
      <c r="D28" s="13" t="inlineStr">
        <is>
          <t>Auction-awarded renewable PPA (new wind projects)</t>
        </is>
      </c>
      <c r="E28" s="13" t="inlineStr">
        <is>
          <t>~18% of the electricity awarded in that renewable auction</t>
        </is>
      </c>
      <c r="F28" s="13" t="inlineStr">
        <is>
          <t>Long-term auction contract</t>
        </is>
      </c>
      <c r="G28" s="13" t="inlineStr">
        <is>
          <t>Celsia's new wind projects were reported to supply ~18% of the electricity adjudicated in Colombia's renewable-energy auction. NOTE: this overlaps/qualifies the same auction as the 264 GWh/yr award above rather than being a fully separate contract.</t>
        </is>
      </c>
      <c r="H28" s="14" t="inlineStr">
        <is>
          <t>https://www.celsia.com/en/noticias/nuevos-proyectos-eolicos-de-celsia-aportaran-el-18-de-la-electricidad-adjudicada-en-la-subasta-de-energias-renovables/</t>
        </is>
      </c>
      <c r="I28" s="13" t="inlineStr">
        <is>
          <t>Official Celsia news release (title itself states the ~18% figure). NOT re-verified (HTTP 403). Retained; medium confidence.</t>
        </is>
      </c>
    </row>
    <row r="29" ht="70" customHeight="1">
      <c r="A29" s="12" t="inlineStr">
        <is>
          <t>CELSIA CB</t>
        </is>
      </c>
      <c r="B29" s="13" t="inlineStr">
        <is>
          <t>Celsia S.A. E.S.P.</t>
        </is>
      </c>
      <c r="C29" s="13" t="inlineStr">
        <is>
          <t>Corporate / commercial &amp; industrial clients (e.g. Cervecería Nacional de Panamá)</t>
        </is>
      </c>
      <c r="D29" s="13" t="inlineStr">
        <is>
          <t>Corporate solar PPA / distributed self-supply solutions</t>
        </is>
      </c>
      <c r="E29" s="13" t="inlineStr">
        <is>
          <t>~129 GWh delivered to clients via solar projects (investment ~COP 28,100 mn Celsia + COP 13,575 mn third parties)</t>
        </is>
      </c>
      <c r="F29" s="13" t="inlineStr">
        <is>
          <t>Long-term corporate PPAs</t>
        </is>
      </c>
      <c r="G29" s="13" t="inlineStr">
        <is>
          <t>Celsia develops and operates behind-the-meter and ground-mount solar for corporate clients under long-term energy-service/PPA arrangements (Colombia, Panama, Honduras).</t>
        </is>
      </c>
      <c r="H29" s="14" t="inlineStr">
        <is>
          <t>https://www.celsia.com/es/soluciones-en-eficiencia-energetica-para-empresas-y-constructoras/energia-solar-para-empresas/</t>
        </is>
      </c>
      <c r="I29" s="13" t="inlineStr">
        <is>
          <t>Celsia corporate-solar page + Integrated Report; Cervecería Nacional de Panamá plant reported by La República (third-party). NOT re-verified (HTTP 403). Retained; medium-low confidence on the exact 129 GWh / COP figures.</t>
        </is>
      </c>
    </row>
    <row r="30" ht="70" customHeight="1">
      <c r="A30" s="12" t="inlineStr">
        <is>
          <t>CELSIA CB</t>
        </is>
      </c>
      <c r="B30" s="13" t="inlineStr">
        <is>
          <t>Celsia S.A. E.S.P.</t>
        </is>
      </c>
      <c r="C30" s="13" t="inlineStr">
        <is>
          <t>XM / Colombian wholesale market (Reliability Charge scheme)</t>
        </is>
      </c>
      <c r="D30" s="13" t="inlineStr">
        <is>
          <t>Firm Energy Obligations (Obligaciones de Energía Firme) under the Cargo por Confiabilidad</t>
        </is>
      </c>
      <c r="E30" s="13" t="inlineStr">
        <is>
          <t>Firm energy commitments from hydro + thermal fleet (specific MW/GWh not disclosed in reachable sources)</t>
        </is>
      </c>
      <c r="F30" s="13" t="inlineStr">
        <is>
          <t>Multi-year firm-energy commitments</t>
        </is>
      </c>
      <c r="G30" s="13" t="inlineStr">
        <is>
          <t>Celsia's hydro and thermal plants hold Firm Energy Obligations under Colombia's Reliability Charge mechanism, guaranteeing energy availability at regulated remuneration.</t>
        </is>
      </c>
      <c r="H30" s="14" t="inlineStr">
        <is>
          <t>https://www.xm.com.co/transacciones/asignacion-subasta/descripcion-subastas-0</t>
        </is>
      </c>
      <c r="I30" s="13" t="inlineStr">
        <is>
          <t>XM (market operator) description of Firm Energy Obligation auctions (regulator/third-party). Structural/general disclosure; Celsia's specific current obligation not extracted. Not re-verified this session.</t>
        </is>
      </c>
    </row>
    <row r="31" ht="70" customHeight="1">
      <c r="A31" s="7" t="inlineStr">
        <is>
          <t>ENMT4 BZ</t>
        </is>
      </c>
      <c r="B31" s="8" t="inlineStr">
        <is>
          <t>Energisa Mato Grosso - Distribuidora</t>
        </is>
      </c>
      <c r="C31" s="8" t="inlineStr">
        <is>
          <t>Various / regulated auctions (generators via ANEEL/CCEE regulated auctions)</t>
        </is>
      </c>
      <c r="D31" s="8" t="inlineStr">
        <is>
          <t>Regulated-market (ACR) energy purchase agreements - CCEAR (Contratos de Comercialização de Energia no Ambiente Regulado), in Quantity (CCEAR-Q) and Availability (CCEAR-D) modalities, plus Itaipu and physical-guarantee quota allocations typical of Brazilian distributors.</t>
        </is>
      </c>
      <c r="E31" s="8" t="inlineStr">
        <is>
          <t>Not separately disclosed at the ENMT4 entity level in sources accessible this session</t>
        </is>
      </c>
      <c r="F31" s="8" t="inlineStr">
        <is>
          <t>Typically long-term (e.g. ~15-30 years for CCEAR-Q new energy; shorter for existing-energy contracts), per standard ANEEL auction terms</t>
        </is>
      </c>
      <c r="G31" s="8" t="inlineStr">
        <is>
          <t>As a captive-market distribution utility, Energisa Mato Grosso procures essentially all of the energy it delivers to captive consumers through the regulated environment (ACR): distributor-pool auctions producing CCEAR contracts with generators, rather than owning generation. This is the structural form of its 'long-term energy supply contracts'. Specific counterparties, MW/GWh volumes and dates are filed in the company's CVM Formulário de Referência / quarterly ITR notes. NOTE: the entity-level figures could not be retrieved this session (all company/CVM/third-party hosts returned HTTP 403 egress denials).</t>
        </is>
      </c>
      <c r="H31" s="9" t="inlineStr">
        <is>
          <t>https://ri.energisa.com.br/en/setor-eletrico-brasileiro/</t>
        </is>
      </c>
      <c r="I31" s="8" t="inlineStr">
        <is>
          <t>Energisa IR 'Brazil's Electric Sector' page (official group source) describing CCEAR-Q/CCEAR-D regulated procurement and that distributors with captive markets buy energy in ACR auctions. This is a general procurement-mechanism description, not an entity-specific named PPA with figures. Medium confidence. NOTE: URL not re-fetchable this session (HTTP 403 egress-policy denial).</t>
        </is>
      </c>
    </row>
    <row r="32" ht="70" customHeight="1">
      <c r="A32" s="12" t="inlineStr">
        <is>
          <t>EQMA3B BZ</t>
        </is>
      </c>
      <c r="B32" s="13" t="inlineStr">
        <is>
          <t>Equatorial Maranhão Distribuidora de</t>
        </is>
      </c>
      <c r="C32" s="13" t="inlineStr">
        <is>
          <t>Various generators via ANEEL/CCEE regulated auctions (regulated market / ACR)</t>
        </is>
      </c>
      <c r="D32" s="13" t="inlineStr">
        <is>
          <t>Regulated-market energy procurement (CCEAR contracts from ANEEL 'leilões de energia' in the ACR). As a captive-market distributor, Equatorial Maranhão procures essentially all of its energy through regulated auctions rather than bilateral corporate PPAs.</t>
        </is>
      </c>
      <c r="E32" s="13" t="inlineStr">
        <is>
          <t>Illustrative (UNVERIFIED this session): a referenced distributor auction reportedly contracted projects adding ~547 MW of new installed capacity at an average price of ~R$165.11/MWh (~30.8% discount to the reference price).</t>
        </is>
      </c>
      <c r="F32" s="13" t="inlineStr">
        <is>
          <t>Long-term CCEAR supply contracts; supply deliveries reportedly beginning 2025 and 2026 (typical CCEAR terms ~15-30 yrs for new generation, ~1-5 yrs for existing energy).</t>
        </is>
      </c>
      <c r="G32" s="13" t="inlineStr">
        <is>
          <t>Total contracted value reportedly ~R$3.4 billion (nominal) with Equatorial Energia Maranhão (ex-Cemar) as buyer, supply start 2025/2026. Distributors also hold legacy CCEARs from prior 'energia nova/existente' and reserve-energy auctions. The distributor does not disclose bilateral (ACL) corporate PPAs because it serves the regulated captive market. CAUTION: the specific figures (547 MW, R$165.11/MWh, ~30.8% discount, ~R$3.4bn) originate from third-party/news snippets in the prior draft and could NOT be re-verified this session — all cited sources returned HTTP 403 and the WebSearch budget was exhausted. Treat these numbers as medium/low confidence pending confirmation against ANEEL/CCEE auction results and the company's CVM (ITR/DFP) filings.</t>
        </is>
      </c>
      <c r="H32" s="14" t="inlineStr">
        <is>
          <t>https://www.aneel.gov.br/</t>
        </is>
      </c>
      <c r="I32" s="13" t="inlineStr">
        <is>
          <t>Non-official origin (news/Wikipedia snippets in prior draft) citing an ANEEL regulated-auction result: ~547 MW added, avg ~R$165.11/MWh, ~30.83% discount, ~R$3.4bn contracts, supply 2025-2026. Authoritative confirmation would be in ANEEL/CCEE auction result publications and the company's CVM/B3 filings, which were egress-blocked (HTTP 403) this session. Qualitative structure (all procurement via regulated ACR auctions) is high-confidence; the exact numbers are not verified.</t>
        </is>
      </c>
    </row>
    <row r="33" ht="70" customHeight="1">
      <c r="A33" s="7" t="inlineStr">
        <is>
          <t>GEPA4 BZ</t>
        </is>
      </c>
      <c r="B33" s="8" t="inlineStr">
        <is>
          <t>Rio Paranapanema Energia S.A.</t>
        </is>
      </c>
      <c r="C33" s="8" t="inlineStr">
        <is>
          <t>Various free-market counterparties (free consumers and energy traders in the ACL)</t>
        </is>
      </c>
      <c r="D33" s="8" t="inlineStr">
        <is>
          <t>Free-market (ACL) bilateral PPAs</t>
        </is>
      </c>
      <c r="E33" s="8" t="inlineStr">
        <is>
          <t>Company assured energy / average physical guarantee ~1,069.8 MW average (as of 2025 rating report); majority historically sold in the ACL</t>
        </is>
      </c>
      <c r="F33" s="8" t="inlineStr">
        <is>
          <t>Typically 2-3 year average terms</t>
        </is>
      </c>
      <c r="G33" s="8" t="inlineStr">
        <is>
          <t>Historically Rio Paranapanema commercialized its energy predominantly in the Free Contracting Environment (ACL) via bilateral contracts with average terms of ~2-3 years, adjusted annually by IPCA and/or IGP-M. UNVERIFIED this pass.</t>
        </is>
      </c>
      <c r="H33" s="9" t="inlineStr">
        <is>
          <t>https://api.mziq.com/mzfilemanager/v2/d/5b6d81c0-07fe-4bdb-8bb9-14699e84f3c9/b38c84bf-39f0-233f-4638-85f9988dbe9a?origin=1</t>
        </is>
      </c>
      <c r="I33" s="8" t="inlineStr">
        <is>
          <t>Rating report dated 25-Jun-2025 (hosted on company IR/mziq CDN; agency report echoing company disclosures): describes ACL bilateral contracts, ~2-3 year average terms, IPCA/IGP-M indexation, and ~1,069.8 MW average physical guarantee. Semi-official (rating agency echoing company). Could not be re-fetched this pass (api.mziq.com returned 403 egress denial).</t>
        </is>
      </c>
    </row>
    <row r="34" ht="70" customHeight="1">
      <c r="A34" s="7" t="inlineStr">
        <is>
          <t>GEPA4 BZ</t>
        </is>
      </c>
      <c r="B34" s="8" t="inlineStr">
        <is>
          <t>Rio Paranapanema Energia S.A.</t>
        </is>
      </c>
      <c r="C34" s="8" t="inlineStr">
        <is>
          <t>Distributors via regulated auction (ACR / CCEE)</t>
        </is>
      </c>
      <c r="D34" s="8" t="inlineStr">
        <is>
          <t>Regulated (ACR) auction PPA - 31st Existing Energy Auction (31o Leilao de Energia Existente)</t>
        </is>
      </c>
      <c r="E34" s="8" t="inlineStr">
        <is>
          <t>Not disclosed in sources reviewed</t>
        </is>
      </c>
      <c r="F34" s="8" t="inlineStr">
        <is>
          <t>Regulated auction contract (existing-energy CCEAR); term not confirmed in sources reviewed</t>
        </is>
      </c>
      <c r="G34" s="8" t="inlineStr">
        <is>
          <t>From 2025, Rio Paranapanema Energia began commercializing energy in the Regulated Contracting Environment (ACR) as a result of the 31st Existing Energy Auction, a shift from its previously ACL-focused strategy. Specific contracted MW, supply start date and term not found in available sources. UNVERIFIED this pass.</t>
        </is>
      </c>
      <c r="H34" s="9" t="inlineStr">
        <is>
          <t>https://api.mziq.com/mzfilemanager/v2/d/5b6d81c0-07fe-4bdb-8bb9-14699e84f3c9/b38c84bf-39f0-233f-4638-85f9988dbe9a?origin=1</t>
        </is>
      </c>
      <c r="I34" s="8" t="inlineStr">
        <is>
          <t>Same 25-Jun-2025 rating report notes entry into ACR from 2025 via the 31st Existing Energy Auction. Volume/term details not disclosed. Could not be re-fetched this pass (403 egress denial).</t>
        </is>
      </c>
    </row>
    <row r="35" ht="70" customHeight="1">
      <c r="A35" s="12" t="inlineStr">
        <is>
          <t>CEBR5 BZ</t>
        </is>
      </c>
      <c r="B35" s="13" t="inlineStr">
        <is>
          <t>Companhia Energética de Brasília</t>
        </is>
      </c>
      <c r="C35" s="13" t="inlineStr">
        <is>
          <t>Neoenergia Distribuição Brasília S.A. (former CEB Distribuição, privatized 2021)</t>
        </is>
      </c>
      <c r="D35" s="13" t="inlineStr">
        <is>
          <t>Regulated/bilateral long-term energy supply contract (offtake of Corumbá III output)</t>
        </is>
      </c>
      <c r="E35" s="13" t="inlineStr">
        <is>
          <t>Full output of Energética Corumbá III S.A. (plant 96.45 MW gross)</t>
        </is>
      </c>
      <c r="F35" s="13" t="inlineStr">
        <is>
          <t>Until 2036, with annual price adjustment each October by IGP-M index</t>
        </is>
      </c>
      <c r="G35" s="13" t="inlineStr">
        <is>
          <t>Energy produced at Corumbá III is reportedly sold in its entirety to Neoenergia Distribuição Brasília until 2036; supplies ~10% of Brasília's demand.</t>
        </is>
      </c>
      <c r="H35" s="14" t="inlineStr">
        <is>
          <t>https://pt.wikipedia.org/wiki/Companhia_Energ%C3%A9tica_de_Bras%C3%ADlia</t>
        </is>
      </c>
      <c r="I35" s="13" t="inlineStr">
        <is>
          <t>pt.Wikipedia / CEB disclosures per original draft: Corumbá III output sold to Neoenergia Distribuição Brasília until 2036, IGP-M adjustment in October. NOT re-fetched this pass (403 at egress proxy; search budget exhausted); term retained from draft, unconfirmed on-source.</t>
        </is>
      </c>
    </row>
    <row r="36" ht="70" customHeight="1">
      <c r="A36" s="12" t="inlineStr">
        <is>
          <t>CEBR5 BZ</t>
        </is>
      </c>
      <c r="B36" s="13" t="inlineStr">
        <is>
          <t>Companhia Energética de Brasília</t>
        </is>
      </c>
      <c r="C36" s="13" t="inlineStr">
        <is>
          <t>Neoenergia (group) — bilateral contract</t>
        </is>
      </c>
      <c r="D36" s="13" t="inlineStr">
        <is>
          <t>Bilateral long-term supply contract (dominant revenue source)</t>
        </is>
      </c>
      <c r="E36" s="13" t="inlineStr">
        <is>
          <t>Not disclosed in MW in accessible sources; ~84.49% of CEB's 2025 gross energy revenue</t>
        </is>
      </c>
      <c r="F36" s="13" t="inlineStr">
        <is>
          <t>Long-term (aligned with post-privatization Neoenergia offtake structure; not precisely dated in accessible sources)</t>
        </is>
      </c>
      <c r="G36" s="13" t="inlineStr">
        <is>
          <t>Per CEB's 2025 annual financial statement (Balanço Anual 2025), ~84.49% of gross energy revenue came from a bilateral contract with Neoenergia and ~15.51% from free-market (ACL) operations; reported as highest billing in five years.</t>
        </is>
      </c>
      <c r="H36" s="14" t="inlineStr">
        <is>
          <t>https://www.correiobraziliense.com.br/static/pdf-publicidade-legal/CEB_Balan%C3%A7o_Anual_2025_Abr26_Corre%C3%A7%C3%A3o_D41D8CD98.pdf</t>
        </is>
      </c>
      <c r="I36" s="13" t="inlineStr">
        <is>
          <t>CEB Balanço Anual 2025 legal-notice PDF (Correio Braziliense). NOT re-fetched this pass — the PDF host returned HTTP 403 at the egress proxy and WebSearch budget was exhausted; the 84.49%/15.51% revenue split is retained from the draft's search snippet and could not be re-confirmed on-source. Revenue-share, not MW.</t>
        </is>
      </c>
    </row>
    <row r="37" ht="70" customHeight="1">
      <c r="A37" s="12" t="inlineStr">
        <is>
          <t>CEBR5 BZ</t>
        </is>
      </c>
      <c r="B37" s="13" t="inlineStr">
        <is>
          <t>Companhia Energética de Brasília</t>
        </is>
      </c>
      <c r="C37" s="13" t="inlineStr">
        <is>
          <t>Free market (ACL) / energy commercialization of Lajeado share</t>
        </is>
      </c>
      <c r="D37" s="13" t="inlineStr">
        <is>
          <t>Free-market (ACL) energy commercialization</t>
        </is>
      </c>
      <c r="E37" s="13" t="inlineStr">
        <is>
          <t>~19.8% of UHE Lajeado (902.5 MW) energy ≈ energy attributable to CEB Lajeado</t>
        </is>
      </c>
      <c r="F37" s="13" t="inlineStr">
        <is>
          <t>Concession/consortium runs to 2035</t>
        </is>
      </c>
      <c r="G37" s="13" t="inlineStr">
        <is>
          <t>CEB Lajeado S.A. is entitled to and commercializes ~19.8% of the energy produced by UHE Luís Eduardo Magalhães (Lajeado); Lajeado concession reportedly valid until 2035.</t>
        </is>
      </c>
      <c r="H37" s="14" t="inlineStr">
        <is>
          <t>https://www.investco.com.br/en/power-plant</t>
        </is>
      </c>
      <c r="I37" s="13" t="inlineStr">
        <is>
          <t>Plant capacity and consortium from Investco/EDP Lajeado official page; CEB Lajeado's ~19.8% energy entitlement from pt.Wikipedia/CEB IR (per draft). NOT re-fetched this pass (403 at egress proxy). Commercialization arrangement rather than a single named PPA.</t>
        </is>
      </c>
    </row>
    <row r="38" ht="70" customHeight="1">
      <c r="A38" s="12" t="inlineStr">
        <is>
          <t>CEBR5 BZ</t>
        </is>
      </c>
      <c r="B38" s="13" t="inlineStr">
        <is>
          <t>Companhia Energética de Brasília</t>
        </is>
      </c>
      <c r="C38" s="13" t="inlineStr">
        <is>
          <t>Terracap + Supremo Tribunal Federal (STF) — shared self-generation consortium</t>
        </is>
      </c>
      <c r="D38" s="13" t="inlineStr">
        <is>
          <t>Shared/self-generation (geração compartilhada) — self-supply arrangement, not a classic third-party PPA</t>
        </is>
      </c>
      <c r="E38" s="13" t="inlineStr">
        <is>
          <t>3 MW solar PV plant (13.2 ha)</t>
        </is>
      </c>
      <c r="F38" s="13" t="inlineStr">
        <is>
          <t>Contracted Feb 19, 2025 (full EPC, R$9.89 million); operating term not disclosed</t>
        </is>
      </c>
      <c r="G38" s="13" t="inlineStr">
        <is>
          <t>CEB Participações, Terracap and the STF formed a consortium to build a 3 MW photovoltaic plant for shared self-generation; CEB Participações and Terracap each fund 50%.</t>
        </is>
      </c>
      <c r="H38" s="14" t="inlineStr">
        <is>
          <t>https://noticias.stf.jus.br/postsnoticias/stf-integra-consorcio-para-a-geracao-compartilhada-de-energia/</t>
        </is>
      </c>
      <c r="I38" s="13" t="inlineStr">
        <is>
          <t>Official STF news release (Feb 2025), per original draft. NOT re-fetched this pass — host returned HTTP 403 at the egress proxy. Self-supply/shared-generation structure; included as a disclosed long-term energy arrangement.</t>
        </is>
      </c>
    </row>
    <row r="39" ht="18" customHeight="1">
      <c r="A39" s="7" t="inlineStr">
        <is>
          <t>PUNTILLA CI</t>
        </is>
      </c>
      <c r="B39" s="8" t="inlineStr">
        <is>
          <t>Eléctrica Puntilla S.A.</t>
        </is>
      </c>
      <c r="C39" s="17" t="inlineStr">
        <is>
          <t>— none disclosed / not applicable —</t>
        </is>
      </c>
      <c r="D39" s="8" t="inlineStr"/>
      <c r="E39" s="8" t="inlineStr"/>
      <c r="F39" s="8" t="inlineStr"/>
      <c r="G39" s="8" t="inlineStr"/>
      <c r="H39" s="8" t="inlineStr"/>
      <c r="I39" s="8" t="inlineStr"/>
    </row>
    <row r="40" ht="70" customHeight="1">
      <c r="A40" s="12" t="inlineStr">
        <is>
          <t>WIG JA</t>
        </is>
      </c>
      <c r="B40" s="13" t="inlineStr">
        <is>
          <t>Wigton Energy Limited</t>
        </is>
      </c>
      <c r="C40" s="13" t="inlineStr">
        <is>
          <t>Jamaica Public Service Company Limited (JPS), the national vertically-integrated utility / single buyer</t>
        </is>
      </c>
      <c r="D40" s="13" t="inlineStr">
        <is>
          <t>Regulated long-term Power Purchase / Power Interchange Agreement (electricity sold to JPS as offtaker; regulated by the Office of Utilities Regulation, OUR)</t>
        </is>
      </c>
      <c r="E40" s="13" t="inlineStr">
        <is>
          <t>62.7 MW contracted capacity (all three wind phases); projected annual output ~164,775 MWh/yr</t>
        </is>
      </c>
      <c r="F40" s="13" t="inlineStr">
        <is>
          <t>20-year PPA(s) covering the wind phases. Wigton I original term extendable to April 2030; a February 16, 2024 Addendum to the Phase I Power Interchange Agreement extended plant operation by a further 3 years starting April 1, 2024.</t>
        </is>
      </c>
      <c r="G40" s="13" t="inlineStr">
        <is>
          <t>All wind energy generated is sold to JPS under long-term PPAs (one per phase, 20-year terms). NCB Capital Markets reported Wigton extended its PPA with JPS by 3 years for Phase I (Feb 2024 Addendum). These are regulated offtake contracts approved by the OUR.</t>
        </is>
      </c>
      <c r="H40" s="14" t="inlineStr">
        <is>
          <t>https://ncbcapitalmarkets.com/research/latestnews/5585-wigton-extends-power-purchase-agreement-with-jps-by-3-years</t>
        </is>
      </c>
      <c r="I40" s="13" t="inlineStr">
        <is>
          <t>NCB Capital Markets research note 'Wigton Extends Power Purchase Agreement with JPS by 3 Years' (third-party broker, reporting a company disclosure) — Feb 16, 2024 Addendum to the Phase I Power Interchange Agreement, +3 years from April 1, 2024. VERIFICATION LIMITATION (this run): source_url could NOT be re-fetched — egress proxy returned HTTP 403 policy denials for NCB and all other hosts, and WebSearch quota was exhausted. Claim retained (single-buyer sale to JPS under long-term regulated PPAs is well established) but not independently re-confirmed this run; treat the specific 3-year addendum detail as broker-reported/unverified this run.</t>
        </is>
      </c>
    </row>
    <row r="41" ht="70" customHeight="1">
      <c r="A41" s="12" t="inlineStr">
        <is>
          <t>WIG JA</t>
        </is>
      </c>
      <c r="B41" s="13" t="inlineStr">
        <is>
          <t>Wigton Energy Limited</t>
        </is>
      </c>
      <c r="C41" s="13" t="inlineStr">
        <is>
          <t>Jamaica Public Service Company Limited (JPS)</t>
        </is>
      </c>
      <c r="D41" s="13" t="inlineStr">
        <is>
          <t>Solar PPA(s) under negotiation / pending regulatory approval (NOT yet operational)</t>
        </is>
      </c>
      <c r="E41" s="13" t="inlineStr">
        <is>
          <t>~50 MW utility-scale solar (part of a ~70 MW total solar build-out plan, which also includes repowering the 20.7 MW Wigton I wind site with solar)</t>
        </is>
      </c>
      <c r="F41" s="13" t="inlineStr">
        <is>
          <t>Not yet finalized as of early 2026</t>
        </is>
      </c>
      <c r="G41" s="13" t="inlineStr">
        <is>
          <t>Wigton Energy plans ~70 MW of solar over ~two years: a 50 MW utility-scale project (generation licence secured; PPA with JPS awaiting OUR sign-off) plus conversion/repowering of the 20.7 MW Wigton I wind facility to solar (Generation Licence Addendum effective Nov 21, 2024). The company was also named among winners of the Generation Procurement Entity's (GPE) 100 MW renewable tender. These are forward-looking; associated solar PPAs are not yet signed/effective, and this capacity is NOT in the current installed base.</t>
        </is>
      </c>
      <c r="H41" s="14" t="inlineStr">
        <is>
          <t>https://wigtonenergy.com/news/wigton-energy-to-build-out-70mw-of-solar-over-the-next-two-years/</t>
        </is>
      </c>
      <c r="I41" s="13" t="inlineStr">
        <is>
          <t>Company news page 'Wigton Energy to Build Out 70MW of Solar Over the Next Two Years' plus Jamaica Gleaner (2025-10-10) and Jamaica Observer (2026-02-22): 50 MW utility-scale solar PPA awaiting OUR approval; Wigton I 20.7 MW wind to be repowered to solar; wind capacity to fall from 62.7 MW to ~42 MW as obsolete turbines are converted. Forward-looking, not an executed PPA. VERIFICATION LIMITATION (this run): source_url could NOT be re-fetched — company site and news sources all returned HTTP 403 policy denials and WebSearch quota was exhausted; details retained as drafted but not independently re-confirmed this run.</t>
        </is>
      </c>
    </row>
    <row r="42" ht="70" customHeight="1">
      <c r="A42" s="7" t="inlineStr">
        <is>
          <t>ENLASA CI</t>
        </is>
      </c>
      <c r="B42" s="8" t="inlineStr">
        <is>
          <t>Energía Latina S.A.</t>
        </is>
      </c>
      <c r="C42" s="8" t="inlineStr">
        <is>
          <t>National Electric System (SEN), via the Coordinador Eléctrico Nacional (CEN) — regulated firm-capacity mechanism</t>
        </is>
      </c>
      <c r="D42" s="8" t="inlineStr">
        <is>
          <t>Firm-capacity payment ('potencia de suficiencia'), a regulatory capacity-remuneration stream, NOT a bilateral energy PPA</t>
        </is>
      </c>
      <c r="E42" s="8" t="inlineStr">
        <is>
          <t>Based on ~296.1 MW maximum-effective diesel capacity</t>
        </is>
      </c>
      <c r="F42" s="8" t="inlineStr">
        <is>
          <t>Ongoing regulatory mechanism (no fixed term)</t>
        </is>
      </c>
      <c r="G42" s="8" t="inlineStr">
        <is>
          <t>Enlasa's core revenue line is capacity/power sales (venta de potencia / potencia de suficiencia) as Chile's largest backup/peaking (respaldo) provider, historically ~19.5%–80.0% of revenue and ~50.9%–86.4% of EBITDA, providing an EBITDA 'floor' of roughly US$7M. This is a capacity-remuneration stream, not a signed offtake PPA.</t>
        </is>
      </c>
      <c r="H42" s="9" t="inlineStr">
        <is>
          <t>https://humphreys.cl/wp-content/uploads/2018/08/Informe-Enlasa-Generacion-Chile-Nov-2025-Anual.pdf</t>
        </is>
      </c>
      <c r="I42" s="8" t="inlineStr">
        <is>
          <t>Humphreys rating reports describe four business lines (power/capacity sales, spot-energy sales, energy sales to end customers, other/tolls) and the potencia-de-suficiencia model. NON-OFFICIAL rating-agency source. PDF blocked (403) this session; figures from draft search extracts, not independently re-confirmed — see verification_notes.</t>
        </is>
      </c>
    </row>
    <row r="43" ht="70" customHeight="1">
      <c r="A43" s="7" t="inlineStr">
        <is>
          <t>ENLASA CI</t>
        </is>
      </c>
      <c r="B43" s="8" t="inlineStr">
        <is>
          <t>Energía Latina S.A.</t>
        </is>
      </c>
      <c r="C43" s="8" t="inlineStr">
        <is>
          <t>Free-market end customers (clientes finales) + spot market</t>
        </is>
      </c>
      <c r="D43" s="8" t="inlineStr">
        <is>
          <t>Energy sales to end customers + spot / stabilized-price energy sales</t>
        </is>
      </c>
      <c r="E43" s="8" t="inlineStr">
        <is>
          <t>Not separately disclosed in accessible sources</t>
        </is>
      </c>
      <c r="F43" s="8" t="inlineStr">
        <is>
          <t>Not disclosed</t>
        </is>
      </c>
      <c r="G43" s="8" t="inlineStr">
        <is>
          <t>Rating reports list 'energy sales to end customers' and spot/stabilized-price energy as revenue lines, but no specific long-term PPA counterparties, volumes or terms are disclosed in publicly accessible/searchable sources. No award to Enlasa in CNE regulated-supply auctions was found (e.g., the 2025/01 auction was reported as awarded to Enel). This is a genuine disclosure gap.</t>
        </is>
      </c>
      <c r="H43" s="9" t="inlineStr">
        <is>
          <t>https://www.cmfchile.cl/documentos/pueag/crcri/recri_2017110192962.pdf</t>
        </is>
      </c>
      <c r="I43" s="8" t="inlineStr">
        <is>
          <t>CMF Chile filing / Humphreys report reference to energy-sales business lines. Specific PPA terms not found; treat as a disclosure gap. NON-OFFICIAL/indirect. CMF URL blocked (403) this session — not re-opened; see verification_notes.</t>
        </is>
      </c>
    </row>
    <row r="44" ht="70" customHeight="1">
      <c r="A44" s="12" t="inlineStr">
        <is>
          <t>AESO3 BZ</t>
        </is>
      </c>
      <c r="B44" s="13" t="inlineStr">
        <is>
          <t>AES Brasil Energia S.A. / AES Brasil</t>
        </is>
      </c>
      <c r="C44" s="13" t="inlineStr">
        <is>
          <t>Unipar Carbocloro</t>
        </is>
      </c>
      <c r="D44" s="13" t="inlineStr">
        <is>
          <t>Free-market (ACL) self-production / corporate PPA (autoproducao)</t>
        </is>
      </c>
      <c r="E44" s="13" t="inlineStr">
        <is>
          <t>40 average MW (from a 91 MW wind installation)</t>
        </is>
      </c>
      <c r="F44" s="13" t="inlineStr">
        <is>
          <t>20 years, effectiveness from 2024</t>
        </is>
      </c>
      <c r="G44" s="13" t="inlineStr">
        <is>
          <t>Second AES Brasil-Unipar deal (Dec 2021): 91 MW wind at the Cajuina Wind Complex (Rio Grande do Norte), ~R$510 million investment; 40 avg MW commercialized to Unipar under a 20-year self-production PPA.</t>
        </is>
      </c>
      <c r="H44" s="14" t="inlineStr">
        <is>
          <t>https://mercadoeconsumo.com.br/22/12/2021/economia/aes-brasil-e-unipar-fecham-acordo-para-autoproducao-de-91-mw-em-geracao-eolica/</t>
        </is>
      </c>
      <c r="I44" s="13" t="inlineStr">
        <is>
          <t>Third-party press (Mercado&amp;Consumo, Suno, InfoMoney), consistent across outlets, corroborating a company-disclosed transaction. Could not be re-fetched on this pass (egress-policy 403 on external hosts; WebSearch budget exhausted). Retained from prior pass; consistent with analyst knowledge of the AES Brasil-Unipar autoproducao structure.</t>
        </is>
      </c>
    </row>
    <row r="45" ht="70" customHeight="1">
      <c r="A45" s="12" t="inlineStr">
        <is>
          <t>AESO3 BZ</t>
        </is>
      </c>
      <c r="B45" s="13" t="inlineStr">
        <is>
          <t>AES Brasil Energia S.A. / AES Brasil</t>
        </is>
      </c>
      <c r="C45" s="13" t="inlineStr">
        <is>
          <t>Unipar Carbocloro (joint venture)</t>
        </is>
      </c>
      <c r="D45" s="13" t="inlineStr">
        <is>
          <t>Self-production JV / long-term offtake</t>
        </is>
      </c>
      <c r="E45" s="13" t="inlineStr">
        <is>
          <t>155 MW (Tucano Wind Complex)</t>
        </is>
      </c>
      <c r="F45" s="13" t="inlineStr">
        <is>
          <t>Long-term (self-production regime)</t>
        </is>
      </c>
      <c r="G45" s="13" t="inlineStr">
        <is>
          <t>First AES Brasil-Unipar structure: a 155 MW joint venture at the Tucano Wind Complex under construction in Bahia, supplying Unipar under a self-production arrangement.</t>
        </is>
      </c>
      <c r="H45" s="14" t="inlineStr">
        <is>
          <t>https://financenews.com.br/2022/08/unipar-carbocloro-conclui-constituicao-de-joint-venture-com-a-aes-brasil-energia/</t>
        </is>
      </c>
      <c r="I45" s="13" t="inlineStr">
        <is>
          <t>Third-party press (Finance News, InfoMoney) reporting completion of the Unipar-AES Brasil Energia JV (155 MW, Tucano, Bahia). Could not be re-fetched on this pass (egress-policy 403; WebSearch exhausted). Retained from prior pass; consistent with analyst knowledge.</t>
        </is>
      </c>
    </row>
    <row r="46" ht="70" customHeight="1">
      <c r="A46" s="12" t="inlineStr">
        <is>
          <t>AESO3 BZ</t>
        </is>
      </c>
      <c r="B46" s="13" t="inlineStr">
        <is>
          <t>AES Brasil Energia S.A. / AES Brasil</t>
        </is>
      </c>
      <c r="C46" s="13" t="inlineStr">
        <is>
          <t>Various / regulated distribution auctions (ACR)</t>
        </is>
      </c>
      <c r="D46" s="13" t="inlineStr">
        <is>
          <t>Regulated auction PPAs (ACR)</t>
        </is>
      </c>
      <c r="E46" s="13" t="inlineStr">
        <is>
          <t>Not separately disclosed (portion of hydro/wind/solar output)</t>
        </is>
      </c>
      <c r="F46" s="13" t="inlineStr">
        <is>
          <t>Typically 15-30 years (auction-dependent)</t>
        </is>
      </c>
      <c r="G46" s="13" t="inlineStr">
        <is>
          <t>AES Brasil sells part of its hydro (former AES Tiete) and renewable output under long-term regulated PPAs won in ANEEL/CCEE energy auctions, with the balance contracted bilaterally in the free market (ACL). Specific volumes not obtained from an official source.</t>
        </is>
      </c>
      <c r="H46" s="14" t="inlineStr">
        <is>
          <t>https://ri.aesbrasil.com.br/en/meet-aes-brasil/aes-brasil/</t>
        </is>
      </c>
      <c r="I46" s="13" t="inlineStr">
        <is>
          <t>General characterization of AES Brasil's disclosed business model (mix of regulated ACR and free-market ACL contracts). Exact contracted-energy GWh/avg-MW figures not retrieved. Low precision - flagged in data_notes. Source not re-fetchable this pass.</t>
        </is>
      </c>
    </row>
    <row r="47" ht="70" customHeight="1">
      <c r="A47" s="7" t="inlineStr">
        <is>
          <t>PRMN3B BZ</t>
        </is>
      </c>
      <c r="B47" s="8" t="inlineStr">
        <is>
          <t>Produtores Energéticos de Manso S.A.</t>
        </is>
      </c>
      <c r="C47" s="8" t="inlineStr">
        <is>
          <t>União / ANEEL (grantor) — concession assuring firm energy to consortium partners</t>
        </is>
      </c>
      <c r="D47" s="8" t="inlineStr">
        <is>
          <t>Regulated concession contract (Contrato de Concessão nº 10/2000, ANEEL)</t>
        </is>
      </c>
      <c r="E47" s="8" t="inlineStr">
        <is>
          <t>~92.0 MW average/year of firm energy (energia assegurada) attributed to PROMAN</t>
        </is>
      </c>
      <c r="F47" s="8" t="inlineStr">
        <is>
          <t>Signed 10 Feb 2000; concession runs to ~10 September 2037</t>
        </is>
      </c>
      <c r="G47" s="8" t="inlineStr">
        <is>
          <t>Under Concession Contract nº 10/2000 between the Union (via ANEEL) and the Manso Consortium (Furnas/Axia Energia 70% + PROMAN 30%), firm energy is assured to PROMAN. Per the balanço notes, the difference between generated and assured energy is absorbed by Furnas's share, holding PROMAN's firm-energy volume constant. There is some source ambiguity on whether 92.0 MW is consortium-wide or PROMAN-specific; the balanço language implies it is PROMAN's committed firm quantity.</t>
        </is>
      </c>
      <c r="H47" s="9" t="inlineStr">
        <is>
          <t>https://publicidadelegal.monitormercantil.com.br/wp-content/uploads/2023/03/PRODUTORES-ENERGETICOS-DE-MANSO-S.A.-%E2%80%93-PROMAN-Balanco-2022.pdf</t>
        </is>
      </c>
      <c r="I47" s="8" t="inlineStr">
        <is>
          <t>PROMAN 2022 audited financial statements (Balanço) published in Monitor Mercantil (official legal publication); also referenced in PROMAN FRE 2026 (CVM reference form). VERIFICATION NOTE: WebFetch to the Monitor Mercantil PDF host and to CVM (rad.cvm.gov.br) were blocked by egress policy (403) in this session, so the 92.0 MW figure and the concession dates could not be line-verified against the live document; retained from the draft. Medium confidence on the precise firm-energy allocation and the exact 2037 end date.</t>
        </is>
      </c>
    </row>
    <row r="48" ht="70" customHeight="1">
      <c r="A48" s="7" t="inlineStr">
        <is>
          <t>PRMN3B BZ</t>
        </is>
      </c>
      <c r="B48" s="8" t="inlineStr">
        <is>
          <t>Produtores Energéticos de Manso S.A.</t>
        </is>
      </c>
      <c r="C48" s="8" t="inlineStr">
        <is>
          <t>Axia Energia (successor/rebranding of Eletrobras Furnas; 70% partner and plant operator)</t>
        </is>
      </c>
      <c r="D48" s="8" t="inlineStr">
        <is>
          <t>Long-term bilateral power purchase &amp; sale agreement (sale of PROMAN's assured energy)</t>
        </is>
      </c>
      <c r="E48" s="8" t="inlineStr">
        <is>
          <t>All of PROMAN's assured energy; committed stock for 2023-2035 = 364,604.14 MWh (~R$113,789 thousand at contracted price)</t>
        </is>
      </c>
      <c r="F48" s="8" t="inlineStr">
        <is>
          <t>Contract originally signed 2000; sales committed 2023-2035, running to end of concession ~Sept 2037</t>
        </is>
      </c>
      <c r="G48" s="8" t="inlineStr">
        <is>
          <t>Effectively all energy assured to PROMAN is committed for sale to Furnas/Axia Energia under a long-term purchase-and-sale contract, so PROMAN has essentially no free-market (ACL) merchant exposure. The committed MWh stock over 2023-2035 totals 364,604.14 MWh, valued at ~R$113.8m, billed from FY2023 to concession end.</t>
        </is>
      </c>
      <c r="H48" s="9" t="inlineStr">
        <is>
          <t>https://publicidadelegal.monitormercantil.com.br/wp-content/uploads/2023/03/PRODUTORES-ENERGETICOS-DE-MANSO-S.A.-%E2%80%93-PROMAN-Balanco-2022.pdf</t>
        </is>
      </c>
      <c r="I48" s="8" t="inlineStr">
        <is>
          <t>PROMAN 2022/2023 audited financial statements (Balanço, Monitor Mercantil legal publication) — notes describing sale of assured energy to Furnas/Axia and the 364,604.14 MWh committed volume. VERIFICATION NOTE: source PDF host blocked (403) in this session; the 364,604.14 MWh / ~R$113.8m figures could NOT be independently re-verified and carry medium/low confidence. The 'Axia Energia' successor naming to Furnas also could not be confirmed against a live source and is flagged as uncertain.</t>
        </is>
      </c>
    </row>
    <row r="49" ht="18" customHeight="1">
      <c r="A49" s="12" t="inlineStr">
        <is>
          <t>GEB CB</t>
        </is>
      </c>
      <c r="B49" s="13" t="inlineStr">
        <is>
          <t>Grupo Energía Bogotá S.A. E.S.P.</t>
        </is>
      </c>
      <c r="C49" s="18" t="inlineStr">
        <is>
          <t>— none disclosed / not applicable —</t>
        </is>
      </c>
      <c r="D49" s="13" t="inlineStr"/>
      <c r="E49" s="13" t="inlineStr"/>
      <c r="F49" s="13" t="inlineStr"/>
      <c r="G49" s="13" t="inlineStr"/>
      <c r="H49" s="13" t="inlineStr"/>
      <c r="I49" s="13" t="inlineStr"/>
    </row>
  </sheetData>
  <mergeCells count="1">
    <mergeCell ref="A1:I1"/>
  </mergeCells>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H7" r:id="rId5"/>
    <hyperlink xmlns:r="http://schemas.openxmlformats.org/officeDocument/2006/relationships" ref="H8"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70" customWidth="1" min="3" max="3"/>
    <col width="70" customWidth="1" min="4" max="4"/>
  </cols>
  <sheetData>
    <row r="1" ht="24" customHeight="1">
      <c r="A1" s="5" t="inlineStr">
        <is>
          <t>Per-company data notes and independent verification findings</t>
        </is>
      </c>
    </row>
    <row r="2" ht="30" customHeight="1">
      <c r="A2" s="6" t="inlineStr">
        <is>
          <t>Ticker</t>
        </is>
      </c>
      <c r="B2" s="6" t="inlineStr">
        <is>
          <t>Company</t>
        </is>
      </c>
      <c r="C2" s="6" t="inlineStr">
        <is>
          <t>Data notes &amp; caveats</t>
        </is>
      </c>
      <c r="D2" s="6" t="inlineStr">
        <is>
          <t>Verification notes</t>
        </is>
      </c>
    </row>
    <row r="3" ht="150" customHeight="1">
      <c r="A3" s="7" t="inlineStr">
        <is>
          <t>AXIA3 BZ</t>
        </is>
      </c>
      <c r="B3" s="8" t="inlineStr">
        <is>
          <t>Centrais Elétricas Brasileiras S.A. – AXIA E</t>
        </is>
      </c>
      <c r="C3" s="8" t="inlineStr">
        <is>
          <t>IDENTITY (confirmed): AXIA Energia is the rebranded ELETROBRAS (Centrais Elétricas Brasileiras S.A.), Brazil's largest power utility, which adopted the 'AXIA Energia' brand on Oct 22, 2025 (tickers effective Nov 10, 2025) following its 2022 privatization/capitalization. It is NOT the AES Tietê / Rio Paranapanema (Auren/former AES Brasil) lineage. Ticker AXIA3 (ex-ELET3). SCOPE: This is a large integrated GENERATION + TRANSMISSION company — it also operates ~74,700 km of transmission lines (~37% of Brazil's total, +~700 km vs 2024), not captured in the capacity fields. CAPACITY (confirmed): 43,872 MW at end-2025 (~17% / 16.9% of national capacity), reported 100% clean across 81 plants (47 hydro, 33 wind, 1 solar); slight -0.8% y/y from divesting gas thermal. The company completed the sale of its thermoelectric (natural-gas) assets in October 2025 (Net Zero 2030), so gas/coal/oil = 0. Nuclear (Angra) is NOT in AXIA — Eletronuclear was transferred to state entity ENBpar at privatization, so nuclear = 0. Some sources cite slightly different totals (e.g. 42.3 GW 'considering stakes', ~44 GW gross) reflecting different consolidation bases/dates; 43,872 MW is the company's stated end-2025 figure. MIX SPLIT: ~43.1 GW hydro and ~0.8 GW wind+solar; exact per-technology MW and the wind-vs-solar split are not cleanly disclosed, so those MW values are approximate (medium confidence). KEY CORRECTION: the 2026 Capacity Reserve Auction PPA was for 190.129 MW CONTRACTED (15-yr term from Aug 1, 2031, ~R$1.4M/MW/yr), not '+246.6 MW' — 246.6 MW is the physical nameplate of the new generating unit to be built at Luiz Gonzaga HPP (~R$1bn investment). SOURCING LIMITATION: Direct WebFetch of every official host (axia.com.br, ri.axia.com.br, api.mziq.com, sec.gov EDGAR, hydropower.org) and relevant third-party hosts returned HTTP 403 — confirmed as this environment's ORGANIZATION EGRESS-POLICY denials (proxy status endpoint logged 403 CONNECT rejections for axia.com.br, mziq, sec.gov, wikipedia, santander), not dead links. All figures were therefore verified from search-indexed text of the company's OWN official pages/releases/SEC 6-K filings and corroborated with financial-press coverage of the same official results. PPAs: the company discloses commercialization/PPA activity in aggregate rather than as individually named bilateral counterparties/volumes.</t>
        </is>
      </c>
      <c r="D3" s="8" t="inlineStr">
        <is>
          <t>RE-CHECKED: (1) Total installed capacity 43,872 MW at end-2025 — CONFIRMED across multiple independent renderings of the official 4Q25/FY2025 disclosure (company media/sustainability page, 4Q25 earnings release, SEC 6-K, and financial press); national-share figure appears as both '17%' and '16.9%'. (2) Capacity mix 47 hydro / 33 wind / 1 solar = 81 plants, ~43.1 GW hydro + ~0.8 GW wind+solar — CONFIRMED (MW split approximate/medium confidence). (3) Identity as rebranded Eletrobras, Oct 22, 2025, tickers effective Nov 10, 2025 — CONFIRMED. (4) Ticker structure: added that NYSE ADRs now trade as AXIA/AXIA-P; confirmed AXIA5/AXIA6 converted to AXIA3 (1.1:1) and left B3 in June 2026, AXIA7 (PNC) remains, Novo Mercado migration 2026. (5) Domicile Rio de Janeiro/Brazil — CONFIRMED via official SEC 6-K registrant and IR docs; CORRECTED the sourcing: the draft's econodata link (CNPJ 59.275.417/0001-00) is a subsidiary, not the listed parent (CNPJ 00.001.180/0001-26). (6) Wind reimbursement ~R$250m and ACL/MCP margin R$78→R$101/MWh — CONFIRMED in official 4Q25 disclosure.
CORRECTED: The 2026 Capacity Reserve Auction PPA — draft's '+246.6 MW contracted' is wrong; the CONTRACTED award was 190.129 MW (15-yr term, delivery from Aug 1 2031, ~R$1.4M/MW/yr, auction March 18 2026). 246.6 MW is the nameplate of the new generating unit at Luiz Gonzaga HPP (~R$1bn investment). Also clarified the ~875 commercialization-client count is company-reported but not independently re-confirmed in accessible text (medium confidence).
LINKS THAT FAILED: Direct WebFetch returned HTTP 403 for ALL official hosts (axia.com.br, ri.axia.com.br, api.mziq.com, sec.gov, hydropower.org) and several third-party hosts (brazilenergyinsight.com, stocktitan). The proxy status endpoint confirms these are organization egress-policy CONNECT denials (403), not dead/wrong URLs — the URLs are valid official sources. Per policy I did not route around them; I verified content through search-indexed text and corroborating press instead. Upgraded weak sources where possible (replaced econodata/aggregator reliance for domicile with the SEC/official registrant; replaced the capacity-auction third-party with TipRanks company-announcement + the official axia.com.br announcement).
OVERALL CONFIDENCE: High on identity, total capacity, domicile, thermal/nuclear = 0, and the capacity-auction correction; Medium on exact hydro-vs-wind-vs-solar MW split and the exact commercialization client counts (company-reported, not directly readable from the blocked official PDFs).</t>
        </is>
      </c>
    </row>
    <row r="4" ht="150" customHeight="1">
      <c r="A4" s="12" t="inlineStr">
        <is>
          <t>ENEV3 BZ</t>
        </is>
      </c>
      <c r="B4" s="13" t="inlineStr">
        <is>
          <t>Eneva S.A.</t>
        </is>
      </c>
      <c r="C4" s="13" t="inlineStr">
        <is>
          <t>BUSINESS MODEL: Eneva is an integrated gas-to-power company (upstream gas E&amp;P + thermal generation + energy trading) with a growing solar business - NOT a distribution utility. It owns its generation directly, so total-capacity/mix figures are applicable.\n\nTOTAL CAPACITY: Company headline is ~7.2 GW installed capacity (includes assets under construction such as the Parnaiba V/VI expansion). The operating split the company itself cites is ~6.5 GW thermal + 692 MW solar. Solar is quoted as 837 MWp DC nameplate (Futura I) vs ~692 MW AC/registered - a peak-vs-AC discrepancy, not an error. All three headline numbers (7.2 GW total, 6.5 GW thermal, 692 MW solar) were confirmed verbatim from search snippets of Eneva's official Power Generation page and are corroborated by multiple independent third parties (Enerdata, power-technology.com, Global Energy Monitor).\n\nMIX RELIABILITY: The natural-gas aggregate (~5,775 MW, ~80%) is a DERIVED figure (6.5 GW thermal minus ~725 MW coal), clearly labeled - Eneva does not publish a single consolidated gas-MW line. Plant-level gas MW (Parnaiba ~1.9 GW installed / 1.8 GW operating, Sergipe 1,593, Jaguatirica ~126, BTG assets) are individually sourced but may not sum exactly to the headline due to rounding, plants under construction, and decommissioned units (Fortaleza/Termofort 327 MW was shut down Dec 2023 and is excluded). CORRECTION to the BTG line: the four assets acquired from BTG Pactual in July 2024 total ~527 MW (Viana 174.6, Viana I 37.48, Povoacao I 74.96 gas-fired = ~287 MW gas, plus Luiz Oscar Rodrigues de Melo ~240 MW DIESEL-fired) for R$2.9bn - the draft's '~352 MW natural gas' both understated the total and mislabeled the diesel unit as gas.\n\nMOVING PARTS / RECENCY: (1) Pecem II coal (~365 MW) is being DIVESTED - Eneva agreed in March 2026 to sell 100% to Diamante Geracao de Energia; once closed, coal drops to just Itaqui 360 MW. (2) Separately, in 2026 Eneva and Diamante WON a capacity auction for a NEW ~1,147 MW natural-gas plant at the Pecem/Ceara hub (a future project, not in current installed capacity). (3) Several ACR thermal PPAs (Parnaiba I/III gas ~854 MW; Itaqui+Pecem coal ~725 MW) expire 2026-2028 and are being recontracted. (4) Futura I solar is fully contracted ('soldout') across ACL offtakers (White Martins ~100.6 avg MW 2023-2035; SiCBRAS 76 MWp/15yr; Vallourec; Liasa), ~R$4bn contracted revenue.\n\nLOWER-CONFIDENCE ITEMS: The LRCAP-2021 'R$360m/yr from 2026' figure and the Luiz Oscar plant's contract tranches (35/96/191 MW) come from Eneva releases that could not be opened directly (egress blocked) and were not independently corroborated; treat as indicative.</t>
        </is>
      </c>
      <c r="D4" s="13" t="inlineStr">
        <is>
          <t>RE-CHECKED against live web sources (WebSearch + WebFetch). IMPORTANT ENVIRONMENT CONSTRAINT: the session's organizational egress proxy denies HTTPS CONNECT (HTTP 403) to EVERY external host - confirmed directly via the proxy status endpoint, which logged policy denials for www.eneva.com.br, filemanager-cdn.mziq.com, api.mziq.com, en.wikipedia.org, canalsolar.com.br and nsenergybusiness.com. I therefore could not directly open any primary PDF/HTML page. Per proxy policy I did NOT attempt to route around these denials. However, WebSearch was functional and returns the official pages' own content snippets verbatim; I used it to verify each key figure against BOTH the official-page snippet AND multiple independent third-party sources.\n\nCONFIRMED: (1) Total installed capacity 7.2 GW, split 6.5 GW thermal + 692 MW solar - official Power Generation page wording confirmed verbatim in search, corroborated by Enerdata/power-technology/GEM. Confidence upgraded medium -&gt; HIGH. (2) Country of domicile Brazil, Rio de Janeiro, CNPJ 04.423.567/0001-21, Companhia Aberta, formerly MPX Energia (renamed Oct 2013), incorporated 2001 - confirmed via Econodata Brazilian registry, Yahoo Finance, and the title line of Eneva's own CVM filing. HIGH. (3) Parnaiba 1.9 GW installed / 1.8 GW operating; Porto de Sergipe I 1,593 MW; Jaguatirica II ~126 MW; Itaqui 360 MW coal; Pecem II 365 MW coal; Futura I 837 MWp / 692 MW - all confirmed across official + third-party sources. (4) PPAs: White Martins ~100.6 avg MW 2023-2035 and SiCBRAS 76 MWp/15yr + full 'soldout' commercialization of 837 MWp (~R$4bn) - CONFIRMED via Canal Solar/Cenario Energia and Eneva press release.\n\nCORRECTED: The BTG-acquisition capacity-mix line - the four assets acquired July 2024 total ~527 MW (not ~352 MW), consisting of three gas plants (~287 MW: Viana 174.6, Viana I 37.48, Povoacao I 74.96) plus a ~240 MW DIESEL unit (Luiz Oscar Rodrigues de Melo) that the draft mislabeled as natural gas; deal value R$2.9bn. The gas aggregate was refined from ~5,600 MW/~78% to ~5,775 MW/~80% (6.5 GW thermal minus ~725 MW coal). Added recency note that Eneva+Diamante won a 2026 auction for a NEW ~1,147 MW gas plant at Pecem (future, not current capacity).\n\nCOULD NOT VERIFY (flagged low confidence, retained from draft): the LRCAP-2021 'R$360m/yr from 2026' figure and the Luiz Oscar plant contract tranches (35/96/191 MW) - sourced to Eneva releases on the blocked mziq host with no accessible third-party corroboration.\n\nDEAD/BLOCKED LINKS: all eneva.com.br, api.mziq.com, filemanager-cdn.mziq.com, canalsolar.com.br and nsenergybusiness.com URLs return proxy 403 on direct fetch (organizational egress policy), though their content is reachable via search snippets. Replaced the draft's blocked mziq API link for country-of-domicile with an accessible Econodata registry URL.\n\nOVERALL CONFIDENCE: HIGH for identity, domicile, total capacity, headline mix, and the solar PPAs; MEDIUM for exact gas-plant sub-totals and ACR expiry dates; LOW for the two flagged items above.</t>
        </is>
      </c>
    </row>
    <row r="5" ht="150" customHeight="1">
      <c r="A5" s="7" t="inlineStr">
        <is>
          <t>EGIE3 BZ</t>
        </is>
      </c>
      <c r="B5" s="8" t="inlineStr">
        <is>
          <t>Engie Brasil Energia S.A.</t>
        </is>
      </c>
      <c r="C5" s="8" t="inlineStr">
        <is>
          <t>Engie Brasil Energia is primarily a GENERATION company (the largest private power generator in Brazil) with a growing transmission segment; its fleet is described by the company as essentially 100% renewable/low-GHG (hydro, wind, solar, biomass). It is NOT a distribution utility. HEADLINE CAPACITY (VERIFIED): the most recent official figure is 1Q26 (Mar 31, 2026) own/proprietary installed capacity of 11,265.9 MW, with an operated generating park of 12,965.6 MW across 145 plants (13 hydro + 132 complementary: 88 wind, 41 solar, 2 SHP, 1 biomass) - confirmed verbatim from the official 1Q26 Fact Sheet and 1Q26 results press release via web-search excerpts. The FY2024 (Dec 31, 2024) snapshot was 9,555.7 MW own / 11,265.5 MW total incl. partners across 115 plants; the fleet grew materially through 2025 (Santo Agostinho and Serra do Assurua wind; Assu Sol solar; Jaguara/Miranda hydro acquisitions). Caution: FY2024 total-park (~11,265.5 MW) and 1Q26 own (11,265.9 MW) are nearly identical numbers but denote different concepts/dates - do not conflate. MIX (VERIFIED %): 1Q26 Hydro 62% / Complementary 38% confirmed from the official Fact Sheet; hydro (~6,985 MW) and complementary (~4,281 MW) MW are DERIVED (percent x own total). ENGIE's fact sheets also publish a within-complementary sub-split of ~68.7% / 21.4% / 9.9% (verbatim in 2Q25 and 3Q25 sheets), which if applied would imply roughly wind ~2.9 GW / solar ~0.9 GW / other ~0.4 GW - the draft's wind '~1.7 GW+' is a stale 2024 asset-level number and understates the current 88-plant wind fleet; per-technology rows are therefore low confidence. SOURCING CONSTRAINT (unchanged and reconfirmed): engie.com.br cannot be fetched directly here - the org egress proxy denies CONNECT with HTTP 403 for engie.com.br and also for wikipedia/finance domains - so all official figures were verified via web-search excerpts of the exact official URLs (1Q26/3Q25/4Q24 Fact Sheets, FY2024 Management Report, press releases, investor 'About' page), not by direct document fetch. PPA/contracted-energy figures (ACR ~1.8 GW/yr, ACL declining 2,443-&gt;555 avg MW 2025-2028, Structural ~521 avg MW) are 'average MW' contracted-volume metrics (not nameplate) from the official 3Q25 Fact Sheet; their exact per-year cells could NOT be independently re-surfaced via search excerpt this pass and are carried from the draft at medium confidence, while the 2025 commercialized total of 4,559 avg MW (+11% vs 2024) WAS independently confirmed.</t>
        </is>
      </c>
      <c r="D5" s="8" t="inlineStr">
        <is>
          <t>RE-CHECKED: (1) Total installed capacity - CONFIRMED. The official 1Q26 Fact Sheet text ('total installed capacity reached 11,265.9 MW, operating a generating park of 12,965.6 MW... 145 plants, 13 hydroelectric + 132 complementary: 1 biomass, 88 wind, 2 SHPs, 41 solar') was returned verbatim by web search of the official PDF and cross-checked against the 1Q26 results press release. (2) Capacity mix - CONFIRMED: 1Q26 own-capacity split Hydro 62% / Complementary 38% returned verbatim from the official Fact Sheet ('Hydro 62% Own Installed Capacity Complementary 38%'). Bonus finding: fact sheets publish a within-complementary sub-split ~68.7%/21.4%/9.9% (from 2Q25/3Q25 sheets), noted to flag that the draft's wind ~1.7 GW is stale/understated. Updated the large-hydro plant count from 11 to 13 to match 1Q26. (3) Country of domicile - CONFIRMED: Brazil, S.A., HQ Florianopolis/Santa Catarina, B3 Novo Mercado (EGIE3), ~68% controlled by ENGIE, CNPJ 02.474.103/0001-19, all from official 'About' / investor pages via search excerpts. (4) PPAs - PARTIALLY VERIFIED: the 2025 commercialized volume of 4,559 avg MW (+11% vs 2024) was independently confirmed via the official 2025-results press release; however the exact 3Q25 contracted-position table cells (ACR ~1,822 avg MW etc.) could NOT be independently re-surfaced because the Fact Sheet PDF is not directly fetchable and search excerpts did not expose the table - these are retained from the draft (sourced to the official 3Q25 Fact Sheet) at medium confidence and annotated as such. CORRECTIONS/ADDITIONS: annotated the wind/solar rows with the derived implied MW from the complementary sub-split; flagged FY2024-vs-1Q26 near-identical-number coincidence; added CNPJ and the 1Q26 press release / 'About ENGIE Brasil' / 2025-results press release as sources; added a fetchability caveat everywhere a figure rests on the draft's prior reading. LINKS THAT FAILED: direct WebFetch of every engie.com.br URL returned HTTP 403 (organization egress policy denial on CONNECT - confirmed via proxy status endpoint, which also logged 403s for en.wikipedia.org and finance CDNs); per proxy policy these denials were not routed around. All verification was therefore done through web-search excerpts of the official URLs. OVERALL CONFIDENCE: high for total installed capacity, the hydro/complementary percentage split, and country of domicile; medium for the exact per-year contracted-position MW; low for per-technology complementary MW (wind/solar/biomass/SHP), which the company does not disclose as clean per-source MW.</t>
        </is>
      </c>
    </row>
    <row r="6" ht="150" customHeight="1">
      <c r="A6" s="12" t="inlineStr">
        <is>
          <t>ENELGXCH CI</t>
        </is>
      </c>
      <c r="B6" s="13" t="inlineStr">
        <is>
          <t>Enel Generación Chile S.A.</t>
        </is>
      </c>
      <c r="C6" s="13" t="inlineStr">
        <is>
          <t>Enel Generación Chile S.A. is the generation arm of the Enel group in Chile and a genuine generator (not a distribution/holding shell); it is ~93.5% owned by Enel Chile S.A. Its directly-owned fleet is predominantly hydro plus thermal, with only a small (82 MW) wind position — most of the group's wind/solar in Chile sits in a separate subsidiary, Enel Green Power Chile, and is NOT included in the 5,620 MW figure. Capacity figures (5,620 MW total; 3,573 hydro / 1,965 thermal gas-or-oil / 82 wind) are as of December 2024, from Enel's official 'Enel Generación Chile' web page and the 2024 Memoria Anual Integrada; they are internally consistent and sum exactly, so confidence is high. The company reports 'net' MW and aggregates natural gas and oil/diesel into one thermal line — a separate gas-vs-oil split was not found. Percentages are analyst-computed (63.6% hydro, 35.0% thermal, 1.5% wind; the company's stated 65% renewable = hydro + wind). CORRECTIONS MADE vs draft: (1) PPA supply-start corrected from '2025' to Block 1 from 1 Jan 2027 and Block 2 from 1 Jan 2028 (each 20-year, ending 2046/2047), per the official CNE tender and the licitacioneselectricas.cl portal; (2) primary PPA source upgraded from trade press to the CNE government press release (price US$56.679/MWh confirmed); (3) the draft's pv-magazine Dec 2025 article was mislinked — it describes a separate later 'exceptional' tender (~1,470 GWh for 2026 at ~US$98.7/MWh), not the 2023/01 award, so it was removed from that PPA's sourcing; (4) HQ/registered domicile corrected from 'Av. Libertador Bernardo O'Higgins 1449' to Santa Rosa 76, Santiago (the current CMF-registered legal domicile). SOURCING CAVEAT: the session's egress proxy returned HTTP 403 for direct WebFetch/curl of enel.cl, cne.cl, cmfchile.cl and renewablesnow.com (organization policy denials, confirmed via the proxy /__agentproxy/status endpoint), so all official figures were captured from web-search extractions of those official pages rather than a direct read of the underlying PDF/HTML. Ticker note: the requested Bloomberg line is ENELGXCH CI (Santiago); the former NYSE ADR EOCC was delisted Dec 2018 and now trades OTC as EOCCY. Do not confuse this entity with parent Enel Chile S.A., which consolidates Enel Generación + Enel Distribución + Enel Green Power Chile (~8,900 MW as of Dec 2024, higher renewable share).</t>
        </is>
      </c>
      <c r="D6" s="13" t="inlineStr">
        <is>
          <t>Re-checked the four key data groups. (1) TOTAL CAPACITY 5,620 MW as of Dec 2024 — CONFIRMED via multiple independent web-search extractions of the official enel.cl 'Enel Generación Chile' page; figure kept, high confidence. (2) CAPACITY MIX 3,573 hydro / 1,965 thermal (gas-or-oil) / 82 wind, 65% renewable — CONFIRMED, sums exactly to 5,620 MW; kept. (3) COUNTRY OF DOMICILE — CONFIRMED Chile, sociedad anónima abierta, RUT 91.081.000-6, constituted 1943; CORRECTED head-office/registered address to Santa Rosa 76, Santiago (draft's Alameda 1449 is the historic building, not the current CMF-registered domicile). (4) PPAs — the 2023/01 regulated supply tender was CONFIRMED via the official CNE press release and the licitacioneselectricas.cl portal: Enel Generación sole winner, 3,600 GWh/yr (1,500 + 2,100 GWh blocks), US$56.679/MWh. CORRECTED the supply-start year from the draft's erroneous '2025' to Block 1 from 1 Jan 2027 and Block 2 from 1 Jan 2028, each a 20-year PPA (to 2046 and 2047 respectively). Upgraded the primary PPA source from trade press to the CNE government press release, and flagged that the draft's pv-magazine (17 Dec 2025) link is a mismatch — it covers a separate later 'exceptional' 2026 tender (~1,470 GWh at ~US$98.7/MWh), not the 2023/01 award. LINKS THAT FAILED TO LOAD: direct WebFetch/curl of enel.cl, cne.cl, cmfchile.cl and renewablesnow.com all returned HTTP 403 — verified via the proxy /__agentproxy/status endpoint that these are organization egress-policy denials, not authentication failures, so none could be re-opened directly; all confirmations rely on web-search extractions of those official pages. OVERALL CONFIDENCE: high for capacity/mix and the corrected 2023/01 PPA (corroborated across official regulator sources), medium-high for the domicile address and the ~93.5% parent-ownership figure (no direct re-read of the underlying filing due to the 403 egress block).</t>
        </is>
      </c>
    </row>
    <row r="7" ht="150" customHeight="1">
      <c r="A7" s="7" t="inlineStr">
        <is>
          <t>COLBUN CI</t>
        </is>
      </c>
      <c r="B7" s="8" t="inlineStr">
        <is>
          <t>Colbún S.A.</t>
        </is>
      </c>
      <c r="C7" s="8" t="inlineStr">
        <is>
          <t>Colbún S.A. is a fully integrated generation company (not a distribution or pure holding company) with directly owned/operated plants in Chile and Peru. TOTAL CAPACITY: cleanest official technology-level breakdown is the 1Q25 Earnings Report (as of 31-Mar-2025): 5,023 MW total = ~4,451 MW Chile + 572 MW Peru; renewable 2,889 MW (~57%) vs thermal 2,134 MW (~43%). ARITHMETIC CHECK (done this pass): the six generation lines sum EXACTLY to 5,023 MW (1,604 hydro + 1,055 wind + 230 solar + 1,676 gas + 350 coal + 108 oil = 5,023); renewable (1,604+1,055+230=2,889) and thermal (1,676+350+108=2,134) subtotals reconcile; every percentage recomputes correctly vs 5,023 MW — so the record is internally consistent. The most recent total is ~5,034 MW as of 4Q25 (31-Dec-2025), with coal ~379 MW and gas ~1,658 MW per draft, but no clean full per-technology Q4 2025 table was obtained, so the itemized mix uses Q1 2025 figures. SOURCING CAVEAT (worsened this pass): in this environment the organization egress policy returned HTTP 403 for EVERY external host attempted (colbun.cl, cmfchile.cl, and even neutral hosts such as Wikipedia), and the session's WebSearch budget was fully exhausted (200/200), so NO source_url could be opened and NO figure was independently re-confirmed against a live primary source on this verification pass. All figures are retained from the draft (which sourced them from Colbún's official earnings documents via search snippets) and validated only for internal arithmetic consistency. DISCREPANCIES (from draft, unresolved and NOT re-checkable here): (1) Peru Fenix plant stated as 572 MW (net) vs 573 MW (gross) — same combined-cycle gas plant near Lima. (2) The 1Q25 table shows only 230 MW solar (Diego de Almagro Sur); a larger 'Sol del Desierto' PV plant (~370 MW) associated with Colbún in some sources does NOT appear as owned solar in the 1Q25 table — possibly held via a separate/associate structure; flagged unresolved. (3) Older third-party snippets cite 3,811-3,852 MW (pre-Horizonte / dated) — outdated; use ~5,023-5,034 MW. PPAs: Colbún discloses aggregate contracted volumes and new-contract counts each quarter rather than naming most counterparties. The 100% acquisition of Fenix Power Perú (from ~58.6% to 100%) was announced 29-Apr-2025.</t>
        </is>
      </c>
      <c r="D7" s="8" t="inlineStr">
        <is>
          <t>VERIFICATION COULD NOT BE COMPLETED AS INSTRUCTED — environment constraints blocked all independent source checks. Specifically: (a) WebFetch of every cited URL failed with HTTP 403 — the agent egress proxy status endpoint confirms these are organization egress-POLICY denials at the gateway (connect_rejected, 'gateway answered 403 to CONNECT'), affecting not just colbun.cl and cmfchile.cl but every external host including neutral ones (en.wikipedia.org also 403); the proxy README explicitly directs that 403/407 policy denials be reported, not retried or worked around. (b) WebSearch returned 'used its web search budget (200 of 200)', so no fallback searches were possible. Net effect: I opened ZERO of the cited sources and confirmed ZERO figures against live primary documents. WHAT I WAS ABLE TO DO: (1) Internal arithmetic verification of the capacity mix — the six generation line items sum exactly to the stated 5,023 MW total, renewable/thermal subtotals (2,889 / 2,134) reconcile, and all percentages recompute correctly; the record is internally consistent. (2) Cross-checked field completeness and source labelling (official vs third-party) — all retained and annotated. WHAT I CHANGED: no data values were altered (I found no evidence any figure is wrong, and altering unverifiable values would be unjustified). I downgraded total_installed_capacity confidence from 'high' to 'medium' to reflect that the official figure could not be re-confirmed on this pass, and I appended an explicit 'not re-fetched / HTTP 403' verification-status note to every source_detail so downstream users know the confirmation state of each field. LINKS THAT FAILED: all of them, uniformly with HTTP 403 (policy denial), not 404 — so this is NOT evidence the URLs are dead or wrong; they are simply unreachable from this session. RECOMMENDATION: re-run this verification in an environment with external egress to colbun.cl and cmfchile.cl and with remaining WebSearch budget; priority items to confirm are (i) the 5,023 MW total and per-technology table in the official 1Q25 PDF, (ii) the latest ~5,034 MW 4Q25 total, (iii) the unresolved 'Sol del Desierto' solar-ownership question, and (iv) upgrading the Total/SunPower 164 MW PPA off a third-party source. OVERALL CONFIDENCE: medium on the capacity data (official-origin and internally consistent, but unverified live this pass); high on country of domicile (Chile / Santiago — well-established public fact); low-to-medium on individual PPA specifics (partly third-party sourced, unverified this pass).</t>
        </is>
      </c>
    </row>
    <row r="8" ht="150" customHeight="1">
      <c r="A8" s="12" t="inlineStr">
        <is>
          <t>AURE3 BZ</t>
        </is>
      </c>
      <c r="B8" s="13" t="inlineStr">
        <is>
          <t>Auren Energia S.A.</t>
        </is>
      </c>
      <c r="C8" s="13" t="inlineStr">
        <is>
          <t>Auren Energia is a pure-play renewable generation + energy-trading company (not a distribution utility), so installed capacity is directly owned/operated. Per the cited 3Q2025 earnings release (as of Sep 30, 2025): 8,800 MW operational installed capacity across 39 assets in 9 Brazilian states, split hydro 4,746 MW (54%), wind 3,178 MW (36%), solar 876 MWac (10%); the three components sum exactly to 8,800 MW (offline arithmetic re-checked and correct). The scale reflects the acquisition of AES Brasil (completed Oct 31, 2024), which roughly doubled the company and added most of the wind/solar fleet; Auren was earlier formed from the Votorantim Energia + CESP combination. Auren is ~100% renewable (hydro/wind/solar) with no thermal/fossil/coal/oil/biomass/cogeneration capacity. Solar is reported in MWac, not MWp. A separate '3T25 Modeling Guide' cited a portfolio of ~8,098 MW and physical guarantee (garantia física) of ~3,776 MWm — likely a different (consolidated-stake or modeling) basis versus the 8,800 MW headline operational figure. MAJOR SOURCING CAVEAT (this verification pass): every external host was blocked by the session's egress policy — the official IR site (ri.aurenenergia.com.br), corporate site (aurenenergia.com.br), release PDFs on api.mziq.com, rad.cvm.gov.br, and all third-party outlets returned HTTP 403 CONNECT policy denials, and the WebSearch quota (200/200) was exhausted. As a result NONE of the figures could be independently re-fetched or re-confirmed against live sources; all values are carried from the draft and validated only by offline internal-consistency arithmetic and general domain knowledge. PPA details remain non-official management-commentary/press items and are the lowest-confidence part of the record.</t>
        </is>
      </c>
      <c r="D8" s="13" t="inlineStr">
        <is>
          <t>VERIFICATION COULD NOT BE COMPLETED AGAINST LIVE SOURCES. This session's outbound egress is locked down by organization policy: every host I attempted — the official Auren IR site (ri.aurenenergia.com.br), the corporate site (aurenenergia.com.br), the release PDF host (api.mziq.com), the CVM filing portal (rad.cvm.gov.br), the third-party outlets (datacenterdynamics.com, moneytimes.com.br), and even control domains (google.com, en.wikipedia.org, b3.com.br, reuters.com) — returned HTTP 403 'CONNECT tunnel failed' policy denials through both WebFetch and curl. The proxy status endpoint confirmed these as gateway policy denials (connect_rejected), which the proxy README instructs must be reported rather than retried or routed around. Additionally the WebSearch budget was fully exhausted (200/200) before this task, so no searches could be run either.\n\nWhat I was able to do offline: (1) Re-checked the capacity arithmetic — hydro 4,746 + wind 3,178 + solar 876 = 8,800 MW exactly, and the percentage splits (53.9%/36.1%/10.0% -&gt; 54/36/10) are correct. (2) Sanity-checked the narrative against general knowledge: Brazilian domicile, B3 ticker AURE3, formation from Votorantim Energia + CESP, and the AES Brasil acquisition completing in late 2024 are all consistent with the draft. (3) Corrected the ticker field's ISIN presentation (BRAUREACNOR0 is Auren's ISIN; the draft mislabeled it as 'ADR/BRAUREACNOR0' — Auren trades on B3, not as a US ADR).\n\nWhat I could NOT verify and therefore left flagged: the verbatim 8,800 MW figure and its hydro/wind/solar split in the 3T25 release; the CNPJ and street address; and all three PPAs (all non-official press/management-commentary items). I lowered total-installed-capacity confidence from 'high' to 'medium' to reflect that the number is internally consistent and plausible but was not re-confirmed against the cited source in this pass. Source URLs and details are preserved and annotated 'NOT RE-VERIFIED' where applicable.\n\nOverall confidence: MEDIUM for the capacity figures and company identity (strong internal consistency + prior knowledge, but no live re-fetch); LOW-MEDIUM for the PPAs (non-official, unreachable this pass). To fully verify, re-run with egress access to ri.aurenenergia.com.br / api.mziq.com and available WebSearch quota.</t>
        </is>
      </c>
    </row>
    <row r="9" ht="150" customHeight="1">
      <c r="A9" s="7" t="inlineStr">
        <is>
          <t>PEHUEN CI</t>
        </is>
      </c>
      <c r="B9" s="8" t="inlineStr">
        <is>
          <t>Empresa Eléctrica Pehuenche S.A.</t>
        </is>
      </c>
      <c r="C9" s="8" t="inlineStr">
        <is>
          <t>Pure-play hydro generator; 100% of capacity is hydroelectric. Total installed capacity 699 MW (Pehuenche 570 MW + Curillinque 89 MW + Loma Alta 40 MW) — a long-standing, internally consistent, well-corroborated figure (high confidence on substance). Parent Enel Generación Chile holds ~92.65%. PPA/contract data is the weakest area (medium-low confidence): Pehuenche sells its output almost entirely to its parent under intra-group bilateral contracts; the specific volumes/terms available (1,500 GWh + 500 MW to 2021/2024 per the 2018 filing; 500 GWh to 31 Dec 2024 per the 2022 filing) are historical, and current (post-2024) renewal terms could not be verified. Regulated-auction awards attributed to 'Enel Generación Chile' are contracted at the parent level, not directly by Pehuenche. Pending corporate event: Enel Generación Chile has sought to merge/absorb Pehuenche (subject to legal/arbitration hurdles as of 2024-2025), which could change the entity's standalone status.</t>
        </is>
      </c>
      <c r="D9" s="8" t="inlineStr">
        <is>
          <t>LIVE VERIFICATION WAS NOT POSSIBLE THIS PASS. Every attempt to fetch a source was rejected by this session's organization egress policy (HTTP 403 to CONNECT), confirmed against the agent-proxy status endpoint and direct curl tests: enel.cl, cmfchile.cl, en.wikipedia.org, es.wikipedia.org, bnamericas.com, gem.wiki, and even google.com/reuters.com/sec.gov all returned connect-rejected. WebSearch was also unavailable (session's 200-call budget already exhausted). Per proxy rules I did not retry or route around these policy denials. As a result NONE of the cited numbers were re-confirmed against a rendered live source in this pass; I fell back to established knowledge. Assessment against knowledge (cutoff Jan 2026): the core facts are sound and unchanged — Empresa Eléctrica Pehuenche S.A. is a Chilean (Santiago) hydro generator, a ~92.65%-owned subsidiary of Enel Generación Chile, listed on the Bolsa de Comercio de Santiago; it operates exactly three Maule-basin hydro plants — Pehuenche 570 MW, Curillinque 89 MW, Loma Alta 40 MW — summing to 699 MW (arithmetic verified). No values were changed because none could be shown to be wrong; I retained all draft data and source URLs. Corrections made are to the verification record only: every source_detail and note now flags that the figure could not be re-fetched due to the egress block, and I added the ~92.65% parent stake and RUT 96.504.980-0 for the domicile field. Overall confidence: HIGH on identity, domicile, parentage, and the 699 MW / 100%-hydro capacity mix (stable, widely corroborated facts); MEDIUM-LOW on the PPA figures (historical, parent-level, not re-verified and possibly superseded post-2024). The record should ideally be re-run in a session with unrestricted egress to enel.cl and cmfchile.cl to visually confirm the plant capacities and the current PPA terms.</t>
        </is>
      </c>
    </row>
    <row r="10" ht="150" customHeight="1">
      <c r="A10" s="12" t="inlineStr">
        <is>
          <t>CELSIA CB</t>
        </is>
      </c>
      <c r="B10" s="13" t="inlineStr">
        <is>
          <t>Celsia S.A. E.S.P.</t>
        </is>
      </c>
      <c r="C10" s="13" t="inlineStr">
        <is>
          <t>SOURCING/VERIFICATION CAVEAT (unchanged constraint from the original draft): every direct WebFetch of celsia.com, grupoargos.com, files.grupoargos.com, the reporteintegrado*.celsia.com microsites and Wikipedia returned HTTP 403 — organization EGRESS-POLICY DENIALS at the proxy gateway (confirmed via the proxy status endpoint), not authentication failures. The session's WebSearch budget was also fully exhausted (200/200) before this task began, so no new searches were possible. As a result NO figure in this record could be re-fetched against its live cited source in this session; values are carried over from the draft with domain-knowledge sanity checks only.\n\nHEADLINE: Total capacity 2,066 MW (FY2024) and FY2024 generation 4,823 GWh are consistent with Celsia's known 2024 reporting and are retained, but downgraded to medium confidence because the source could not be opened.\n\nCAPACITY MIX does not reconcile cleanly to the 2,066 MW headline: hydro 1,127 + thermal 519 + solar ~350 + wind 9.6 = ~2,006 MW (~60 MW short), and the thermal 519 MW is a 2022-vintage figure that plausibly overstates the 2024 Colombian thermal fleet (Meriléctrica ~167 MW) after the 2019 Zona Franca/Termoflores sale and the 2023 Central America divestment to Enfragen — thermal confidence is therefore LOW and should be treated as an upper bound. Solar (~350 MW) and wind (Carreto, ~9.6 MW; some sources ~9.9 MW) rest on third-party (La República, 360 Radio) sources that could not be upgraded to official ones this session. Only the cleanest fully-consistent official breakdown remains the 2022 Integrated Report (2,008.73 MW = 1,247.64 hydraulic + 519 thermal + 49.5 wind + 192.59 PV).\n\nIMPORTANT DISTINCTION retained: Celsia's frequently-quoted 'hydro ~68%' refers to the ENERGY/generation matrix, not installed capacity (hydro is ~55% of MW).\n\nCORPORATE STRUCTURE: listed holding company Celsia S.A. E.S.P. (BVC: CELSIA) controls operating company Celsia Colombia S.A. E.S.P. and is itself controlled by Grupo Argos S.A. — well-established and retained at high confidence.\n\nPPAs: the two renewable-auction entries (264 GWh/yr 15-year award; ~18% of auction volume) reference the SAME Colombian renewable auction and should be read as one award described two ways, not two independent contracts. Celsia does not publish a contract-by-contract PPA register in reachable sources.</t>
        </is>
      </c>
      <c r="D10" s="13" t="inlineStr">
        <is>
          <t>VERIFICATION COULD NOT BE COMPLETED AS INSTRUCTED — the session had no working path to any cited source. (1) WebFetch on celsia.com, es.wikipedia.org/wiki/Celsia, the estructura-societaria page and files.grupoargos.com all returned HTTP 403. The agent-proxy status endpoint confirms these are organization egress-policy denials (recentRelayFailures list files.grupoargos.com, b3.com.br, google.com and other power-company domains as 'connect_rejected — policy denial or upstream failure'), which per the proxy README must NOT be retried or routed around. (2) WebSearch returned 'used its web search budget (200 of 200)', so no replacement sources could be found either. No CA/trust fix applies — this is a deliberate destination-host block, not a TLS problem.\n\nWHAT I DID: re-checked each figure against domain knowledge and internal consistency, since live fetching was impossible. WHAT I CHANGED: (a) downgraded total_installed_capacity confidence high -&gt; medium (unverifiable against live source); (b) flagged the thermal 519 MW line as a likely 2024 OVERSTATEMENT (it is a 2022 figure predating the 2023 Central America divestment and the 2019 Zona Franca sale) and cut its confidence to LOW, annotating the value; (c) annotated solar (~350 MW) and wind (Carreto ~9.6 MW, possibly ~9.9 MW) as third-party-sourced and unupgraded, lowering their confidence; (d) added an explicit note that the two renewable-auction PPA entries describe the SAME auction award; (e) noted the capacity-mix lines sum to ~2,006 MW vs the 2,066 MW headline. NO good data was deleted. LINKS THAT FAILED: every celsia.com, grupoargos.com and wikipedia URL above failed with HTTP 403 policy denials and thus none could be confirmed to support its claim this session.\n\nOVERALL CONFIDENCE: MODERATE for well-established structural facts (domicile in Medellín, Grupo Argos control, BVC ticker, ~2,066 MW / 4,823 GWh headline). LOW for the per-technology 2024 capacity split, especially thermal. The record should be treated as best-available-but-unverified; a re-run in a session whose egress policy permits celsia.com / files.grupoargos.com and has WebSearch budget is needed to close it out, prioritizing the 2024 Integrated Report PDF for the authoritative per-technology MW table.</t>
        </is>
      </c>
    </row>
    <row r="11" ht="150" customHeight="1">
      <c r="A11" s="7" t="inlineStr">
        <is>
          <t>ENMT4 BZ</t>
        </is>
      </c>
      <c r="B11" s="8" t="inlineStr">
        <is>
          <t>Energisa Mato Grosso - Distribuidora de Ener</t>
        </is>
      </c>
      <c r="C11" s="8" t="inlineStr">
        <is>
          <t>SCOPE/NATURE: ENMT4 (also ENMT3) is an electricity DISTRIBUTION concessionaire (formerly Centrais Elétricas Matogrossenses - CEMAT), part of Grupo Energisa, headquartered in Cuiabá, Mato Grosso, Brazil; acquired by Energisa from Grupo Rede in 2014. It is the sole distribution concessionaire for essentially the entire state of Mato Grosso (~141 municipalities). Consumer/area figures cited in secondary sources (e.g. ~827,762 consumers) are non-official and dated; the current captive customer base is materially higher (well over 1.5 million).
GENERATION = N/A: Under Brazil's regulatory unbundling ('desverticalização', Lei 10.848/2004), a distribution utility is a pure wires business and legally cannot own generation. The listed distribution entity ENMT4 therefore has no reported installed generation capacity, and capacity_mix is empty. Historical CEMAT/'Grupo Rede'-era plants (Guaporé hydro, PCHs on the Rio Braço Norte complex near Guarantã do Norte/Novo Mundo, Aripuanã units, some diesel/thermo units) are associated with the pre-Energisa era and are held in generation-specific entities within the group, not the distribution company. Group-level generation is held in separate subsidiaries and is not attributable to ENMT4.
PPAs: As a captive-market distributor, ENMT4's 'long-term energy contracts' are regulated-market CCEAR contracts (CCEAR-Q / CCEAR-D) sourced through ANEEL/CCEE auctions plus Itaipu and physical-guarantee quotas - not bilateral generation offtake. Entity-level volumes, counterparties and dates are disclosed in its CVM Formulário de Referência and quarterly ITR notes.
SOURCING LIMITATION (critical this pass): No live source could be opened. All WebFetch attempts (Energisa IR ri.energisa.com.br, energisa.com.br, B3, en/pt Wikipedia, Investing.com, econodata) returned HTTP 403 - organization egress-policy denials at the proxy gateway (confirmed via /__agentproxy/status, which logs the same CONNECT-403 pattern for many power-company hosts). The WebSearch budget was also fully exhausted (200/200) before this task began, so no new searches were possible. Per proxy policy these denials were not routed around. All facts therefore remain on the draft's prior third-party snippet basis plus analyst domain knowledge; none were re-confirmed against a primary document this session. For audit-grade figures, the company's latest CVM Formulário de Referência and quarterly ITR/earnings release must be read directly when network access is available.</t>
        </is>
      </c>
      <c r="D11" s="8" t="inlineStr">
        <is>
          <t>VERIFICATION STATUS: No live re-verification was possible this session. Every WebFetch (Energisa group IR site, the Mato Grosso operating-unit page, B3, English and Portuguese Wikipedia, Investing.com, and the econodata CNPJ registry) returned HTTP 403 - organization egress-policy denials at the proxy gateway, confirmed against /root/.ccr/README.md and the /__agentproxy/status endpoint (its recentRelayFailures log shows the same CONNECT-403 denial pattern for numerous power-company domains). The WebSearch budget was also already exhausted (200/200) at task start, so no substitute searches could be run. Per proxy policy I did not attempt to route around the denials.
WHAT I DID: Because no source loaded, I assessed the draft against analyst domain knowledge (model cutoff Jan 2026). The draft's substantive claims are sound and were left intact: (1) ENMT4/ENMT3 = former CEMAT (Centrais Elétricas Matogrossenses), the Mato Grosso state distribution concessionaire, part of Grupo Energisa since 2014 - correct; (2) domicile Brazil, HQ Cuiabá, MT - correct/high confidence; (3) as a Brazilian distribution concessionaire it owns no material generation under the Lei 10.848/2004 unbundling rules, so total installed capacity = N/A and capacity_mix = [] - structurally correct; (4) its 'long-term energy contracts' are regulated CCEAR/ACR auction purchases, not owned-generation offtake - correct characterization.
CORRECTIONS/EDITS: No substantive figures changed (none could be shown wrong, and none could be independently confirmed). Minor clean-ups: normalized the CNPJ note (base 03.467.321; matrix 0001-99, vs the branch number in the source URL); standardized the PPA counterparty to 'Various / regulated auctions'; and annotated every source_url with the fact that it returned a 403 and was not re-read this pass.
DEAD/BLOCKED LINKS: All cited URLs are live domains but were unreachable via this session's proxy (403 policy denials, not 404s) - so their content supporting the claims could NOT be re-confirmed. The rad.cvm.gov.br deep link in the draft carried query parameters that are session-specific and unstable; I trimmed it to the base viewer URL.
OVERALL CONFIDENCE: High on the qualitative facts (identity as former CEMAT, Brazil/Cuiabá domicile, distribution-only nature → capacity N/A, regulated-PPA procurement model) - these are robust regardless of the source block. Low-to-none on any specific quantitative figure (exact consumer counts, GWh procured, named CCEAR contracts), which remain unverified against primary CVM/company documents this session. This record should be re-run once egress access to ri.energisa.com.br and rad.cvm.gov.br is restored.</t>
        </is>
      </c>
    </row>
    <row r="12" ht="150" customHeight="1">
      <c r="A12" s="12" t="inlineStr">
        <is>
          <t>EQMA3B BZ</t>
        </is>
      </c>
      <c r="B12" s="13" t="inlineStr">
        <is>
          <t>Equatorial Maranhão Distribuidora de Energia</t>
        </is>
      </c>
      <c r="C12" s="13" t="inlineStr">
        <is>
          <t>IDENTITY: EQMA3B / EQTL Maranhão = Equatorial Maranhão Distribuidora de Energia S.A. (ex-CEMAR), the electricity DISTRIBUTION concessionaire for the State of Maranhão, Brazil, controlled by the Equatorial Energia group (EQTL3). HQ São Luís-MA; CNPJ 06.272.793/0001-84; sole distributor in Maranhão (reported ~217 municipalities, ~332,000 km2 concession area, ~2.8 million consumers, ~8,763 GWh distributed in 2024 per third-party snippets — these operating stats are carried from the prior draft and were NOT re-verified this session).
OWNERSHIP CAVEAT: The prior draft's claim that "Eletrobras historically held a ~33.4% minority stake, reportedly under review for divestment in 2024" is UNVERIFIED and should be treated with caution. CEMAR was privatized and brought under Equatorial control years ago; a current ~33.4% Eletrobras stake in this specific distributor could not be confirmed this session and may conflate group-level or historical holdings. Do not rely on this ownership figure without checking the company's CVM shareholding disclosures.
GENERATION: Distribution-only utility with NO directly-owned generation capacity. Brazilian regulatory unbundling (Law 10.848/2004) prohibits distributors from owning generation. Therefore total installed capacity = N/A and capacity_mix is empty (high confidence, structurally certain). The Equatorial GROUP's generation assets (e.g. wind via Echoenergia; distributed generation via Enova; former thermal Geramar/Gera Maranhão) are held at the parent Equatorial Energia (EQTL3) level or other subsidiaries — do NOT attribute them to EQMA3B.
PPAs: As a captive-market distributor, its "PPAs" are regulated CCEAR supply contracts bought through ANEEL regulated energy auctions (ACR), not bilateral corporate PPAs. One reported (unverified) data point: ~547 MW contracted at avg ~R$165.11/MWh (~30.8% discount), ~R$3.4bn nominal, supply starting 2025/2026. Full contract portfolio would be in CVM/B3 filings (ITR/DFP) and CCEE.
SOURCING CAVEAT (critical): This verification pass could NOT reach any live source. The WebSearch budget was already fully exhausted (200/200) at the start of the session, and EVERY external host attempted returned HTTP 403 under the organization's egress policy: the company's official domains (ma.equatorialenergia.com.br, ri.equatorialenergia.com.br), en.wikipedia.org, pt.wikipedia.org, econodata.com.br, and b3.com.br. The agent-proxy status log confirms these are organization policy denials (the same policy is blocking numerous power-utility domains), which per proxy policy must be reported rather than routed around. Consequently no number in this record was independently re-confirmed against a live source in this session. The qualitative core (Brazilian, B3-listed, distribution-only concessionaire in Maranhão with no owned generation, procuring via regulated ACR auctions) remains high-confidence on structural/regulatory grounds; all specific quantitative figures (consumer counts, GWh, the 547 MW / R$165.11 / R$3.4bn auction numbers, the Eletrobras stake) are UNVERIFIED and should be re-checked against the company's CVM filings, latest Integrated/Annual Report and quarterly release, and ANEEL/CCEE, once those hosts are reachable.</t>
        </is>
      </c>
      <c r="D12" s="13" t="inlineStr">
        <is>
          <t>SESSION CONSTRAINT: Independent live re-verification was NOT possible. Two hard blockers: (1) the WebSearch quota was already fully consumed (200/200) before this task, so no new searches could be run; (2) every WebFetch to an external host returned HTTP 403 under the organization's egress policy — verified against the agent proxy status endpoint, which logs these as policy CONNECT denials (a broad block covering power-utility and general web domains alike). Hosts attempted and blocked: ri.equatorialenergia.com.br, en.wikipedia.org, pt.wikipedia.org, econodata.com.br, b3.com.br. Per the proxy README, 403/407 policy denials must be reported, not bypassed, and TLS/proxy settings must not be altered.
WHAT I RE-CHECKED (by internal consistency + regulatory/domain knowledge, since no live fetch succeeded): (a) Identity — Equatorial Maranhão = ex-CEMAR, B3-listed Brazilian S.A., Maranhão distribution concessionaire, Equatorial Energia group: consistent and high-confidence. (b) Country of domicile = Brazil: high-confidence. (c) Total installed capacity = N/A and empty capacity_mix: high-confidence and structurally correct — a pure distribution concessionaire cannot own generation under Law 10.848/2004; group generation belongs to EQTL3/other subsidiaries. (d) PPAs framed as regulated ACR/CCEAR auction procurement rather than bilateral corporate PPAs: qualitatively correct.
WHAT I CORRECTED / ANNOTATED: (1) Downgraded and explicitly flagged the specific auction figures (547 MW, R$165.11/MWh, ~30.8% discount, ~R$3.4bn, supply 2025/2026) as UNVERIFIED this session; retained them but relabeled the PPA volume/details as illustrative/medium-low confidence, and pointed the PPA source_url at authoritative primary sources (ANEEL/CCEE) rather than Wikipedia. (2) Flagged the "Eletrobras ~33.4% stake under 2024 divestment review" claim as UNVERIFIED and potentially conflating historical/group-level holdings — softened in data_notes. (3) Repointed the total_installed_capacity source_url to the official IR domain (with a note it was 403 this session) instead of Wikipedia. (4) Rewrote sourcing caveats throughout to be explicit that NO figure was live-confirmed in this session.
LINKS THAT FAILED: ri.equatorialenergia.com.br (403), en.wikipedia.org (403), pt.wikipedia.org Equatorial_Energia_Maranhão (403), econodata registry page (403), b3.com.br (403). None loaded; none could be used to affirmatively support a numeric claim.
OVERALL CONFIDENCE: HIGH for the qualitative record (Brazilian domicile; distribution-only concessionaire in Maranhão; no owned generation; procurement via regulated auctions). LOW/UNVERIFIED for all specific quantitative figures. This record should be re-run once external egress and WebSearch quota are available so the CVM filings, Integrated/Annual Report, and ANEEL/CCEE auction data can be confirmed directly.</t>
        </is>
      </c>
    </row>
    <row r="13" ht="150" customHeight="1">
      <c r="A13" s="7" t="inlineStr">
        <is>
          <t>GEPA4 BZ</t>
        </is>
      </c>
      <c r="B13" s="8" t="inlineStr">
        <is>
          <t>Rio Paranapanema Energia S.A.</t>
        </is>
      </c>
      <c r="C13" s="8" t="inlineStr">
        <is>
          <t>Company profile: Rio Paranapanema Energia S.A. is a pure hydroelectric generation company (no thermal/wind/solar), controlled by CTG Brasil (China Three Gorges). It represents ~28% of CTG Brasil's installed capacity. Domicile/HQ: Sao Paulo, Brazil; listed on B3 (GEPA3 ON / GEPA4 PN); group also includes holding vehicle Rio Paranapanema Participacoes S.A.
CAPACITY - figures vary by source and by how the Canoas complex is counted: (a) CTG/company: 2,241 MW for the eight UHEs on the Paranapanema (Canoas complex at ~49.7% ownership, consortium with CBA); (b) including the two Sapucai-Mirim PCHs (~32.5 MW) the commonly cited total is ~2,274 MW (10 plants); (c) a 25-Jun-2025 rating report states 2,297.8 MW total with ~1,069.8 MW average physical guarantee. Per-plant full-capacity MW (Capivara 619, Taquarucu 554, Chavantes 414, Rosana 372, Jurumirim 100.9, Salto Grande 74, Canoas I 82, Canoas II 72) sum to ~2,288 MW; this differs from the company's 2,241 MW aggregate because Canoas is only ~49.7%-owned and due to rounding. Headline reported as ~2,274 MW (10-plant total, medium confidence) with the 2,241 MW and 2,297.8 MW variants flagged.
CONCESSIONS: Concession Contract 76/1999 covers Jurumirim, Chavantes, Salto Grande, Capivara, Taquarucu, Rosana (30 years, expiring 2029; ~92% of capacity); a separate contract covers Canoas I &amp; II (35 years, expiring 2033, consortium with CBA). Concession-expiry risk (2029) is material for the six main plants.
SOURCING CAVEAT (critical, unchanged and reinforced this pass): Every attempted outbound fetch in this verification session was blocked by the session's egress policy. WebFetch and direct curl to ri.ctgbr.com.br, www.ctgbr.com.br, api.mziq.com, en.wikipedia.org, www.econodata.com.br, sistemaswebb3-listados.b3.com.br - and even example.com and google.com - all returned HTTP 403 CONNECT policy denials. WebSearch was unavailable (budget exhausted, 200/200). No figure could be independently re-confirmed against a primary document in this pass. All figures are carried over from the prior research (which was itself assembled from search-indexed snippets, not direct reads) and should be re-verified against primary documents (CTG Brasil IR 'Central de Resultados' / 'Formulario de Referencia', CCEE/ANEEL registries, B3) once egress is permitted. No number was invented; unconfirmed items (exact ACR/ACL split, 31st-auction contracted MW and term) remain marked not disclosed/not found.</t>
        </is>
      </c>
      <c r="D13" s="8" t="inlineStr">
        <is>
          <t>VERIFICATION COULD NOT BE COMPLETED IN THIS SESSION due to a hard environmental block. Actions taken and results:
1) Attempted WebFetch of the primary cited sources - CTG Brasil operations page (www.ctgbr.com.br/en/operations/hydropower/), CTG Brasil IR (ri.ctgbr.com.br/en/rio-paranapanema-energia/), the 25-Jun-2025 rating report on api.mziq.com, and en.wikipedia.org/wiki/Capivara_Dam. ALL returned HTTP 403 Forbidden.
2) Diagnosed via the agent proxy status endpoint and README: these are organization egress-policy denials (403 CONNECT). The README explicitly instructs not to retry or route around policy denials. Direct curl tests confirmed the block is total - even example.com and google.com return 403 CONNECT policy denials. This is a blanket outbound-HTTPS lockdown for this session, not a per-site issue.
3) WebSearch was unavailable: the session's search budget was fully exhausted (200/200) before this task began, so no new searches could be run.
Consequence: I was unable to independently re-fetch or re-confirm a single figure (total capacity, per-plant capacities, PPA terms, or the domicile source page) against any primary or secondary document. Nothing could be positively verified, and equally nothing could be shown to be wrong - so, per instructions, I preserved all draft data rather than deleting good information, and annotated the fields as UNVERIFIED THIS PASS.
Corrections/edits made: no factual values were changed (none could be disproven). I re-labeled the capacity, capacity-mix, and PPA fields to make clear they were not re-confirmed in this pass, and strengthened the domicile note (Brazil / Sao Paulo / B3 / CNPJ 02.998.301/0001-81 remains high-confidence from multiple converging references, though the specific source page was not re-fetchable here).
Overall confidence: Company identity, ticker (GEPA3/GEPA4 on B3), Brazil domicile and pure-hydro CTG-controlled profile = HIGH (well-established, multiply corroborated). Total installed capacity (~2,274 MW; variants 2,241 and 2,297.8) = MEDIUM, carried from prior research and NOT re-verified this pass. Per-plant split and PPA/auction details = MEDIUM-LOW and UNVERIFIED. RECOMMENDATION: re-run this fact-check from a session with functioning egress and available WebSearch budget, targeting CTG Brasil's Formulario de Referencia / Central de Resultados and ANEEL/CCEE registries as primary sources.</t>
        </is>
      </c>
    </row>
    <row r="14" ht="150" customHeight="1">
      <c r="A14" s="12" t="inlineStr">
        <is>
          <t>CEBR5 BZ</t>
        </is>
      </c>
      <c r="B14" s="13" t="inlineStr">
        <is>
          <t>Companhia Energética de Brasília</t>
        </is>
      </c>
      <c r="C14" s="13" t="inlineStr">
        <is>
          <t>SOURCING CAVEAT (UPDATED THIS PASS): Live re-verification could not be performed. (1) The session's WebSearch budget was fully exhausted (200 of 200 calls) before this pass began, so no new searches were possible. (2) Every external host required to re-confirm figures returned HTTP 403 CONNECT denials at the organization egress proxy — confirmed for ri.ceb.com.br, www.investco.com.br, www.neoenergia.com, noticias.stf.jus.br, www.econodata.com.br and pt.wikipedia.org (the proxy status endpoint also shows blanket 403s for wikipedia, google, sec.gov, cvm.gov.br, b3.com.br, reuters). Per /root/.ccr/README.md these are organization-policy denials that must be reported, not worked around. Consequently ALL figures below are inherited from the original draft (itself based on WebSearch snippets, not fully rendered pages) and could NOT be re-fetched or upgraded on-source in this verification pass.\n\nCOMPANY TYPE: Post-2021, CEB is essentially a state-controlled (Government of the Federal District) holding company. Its distribution arm (CEB Distribuição) was privatized and sold to Neoenergia in 2021 (now Neoenergia Distribuição Brasília); CEB retained generation through CEB Geração S.A. and CEB Lajeado S.A., plus public-lighting and new PV businesses via CEB Participações/CEB Iluminação. CEB is NOT a distribution utility any more and has NO large directly-owned fleet. (Consistent with general knowledge; not re-confirmed on-source this pass.)\n\nGENERATION: The only plant CEB wholly owns/controls is UHE/PCH Paranoá (~30 MW hydro, concession reportedly to 2050). Everything else is a minority equity or energy-commercialization stake: Lajeado 902.5 MW (CEB ~19.8% energy / ~16.98% of Investco capital), Corumbá IV 129.6 MW (~34.07%), Queimado 105 MW (17.5%), Corumbá III 96.45 MW (~24% currently; Neoenergia increasing to ~76% as of ~Mar 2026 — earlier sources cite CEB 60% or 37.5%). All are hydro. A 3 MW solar PV project (with Terracap + STF) is under development (contracted Feb 2025).\n\nTHE '708 MW' FIGURE: CEB and pt.Wikipedia reportedly state generation participation 'totals 708 MW' (across Lajeado, Corumbá III, Corumbá IV, Queimado). This does NOT reconcile with the plant data: gross of those four ≈ 1,233.5 MW (+30 Paranoá ≈ 1,263.5 MW), and CEB's proportional/equity share of all five ≈ 290–330 MW. 708 MW is likely an older or differently-defined aggregate; treat with low confidence. Could not be re-checked this pass.\n\nSTAKE PRECISION: Ownership percentages (esp. Corumbá III) are in flux and reported differently across sources/dates; the Corumbá III structure is layered (Consórcio Corumbá III / Energética Corumbá III S.A. / Neoenergia). Treat exact percentages as approximate.\n\nCURRENCY/DATE: PPA revenue-share (84.49% Neoenergia) is FY2025 from the Balanço Anual 2025; EPC figure R$9.89M (BRL).\n\nRECOMMENDED FOLLOW-UP: Re-run with (a) an un-exhausted WebSearch budget and (b) egress-proxy access to ri.ceb.com.br, cvm.gov.br (CVM/RAD filings) and B3, to confirm total installed capacity, the 708 MW aggregate, individual stakes, and the Neoenergia bilateral contract terms directly on official documents.</t>
        </is>
      </c>
      <c r="D14" s="13" t="inlineStr">
        <is>
          <t>VERIFICATION COULD NOT BE COMPLETED AS INTENDED — hard environmental blocks. (1) The WebSearch budget was already fully exhausted at the start of this pass (200 of 200 calls used); the tool refused every query. (2) WebFetch failed with HTTP 403 on EVERY source URL I attempted to re-check: ri.ceb.com.br (total capacity + capacity mix), www.investco.com.br (Lajeado 902.5 MW), www.neoenergia.com (Corumbá III/IV), noticias.stf.jus.br (3 MW solar PPA), www.econodata.com.br (CNPJ/domicile), and pt.wikipedia.org (multiple facts). The agent proxy status endpoint confirms these are organization-policy CONNECT denials (403), also blocking google, en/pt.wikipedia.org, sec.gov, cvm.gov.br, b3.com.br, reuters and yahoo finance. Per /root/.ccr/README.md, 403 policy denials must be reported, not bypassed, and TLS/proxy must not be disabled — so there was no compliant path to reach any source.\n\nWHAT I CHECKED: I attempted direct re-fetch of all seven cited sources plus the proxy diagnostics; all external egress is blocked. No number in the record could be independently re-confirmed on-source in this session.\n\nWHAT I CORRECTED: No factual values were changed, because I have no verified basis to overturn any specific draft figure and the draft is already appropriately caveated. I did NOT invent confirmations. I updated every source_detail, data_notes, sources_summary and this field to state explicitly that the sources were NOT re-fetched this pass and to record the 403/exhausted-budget blocks, so the record does not overstate verification. I softened a few phrasings to 'reportedly' where the underlying figure remains unconfirmed.\n\nCONSISTENCY CHECKS I COULD DO OFFLINE: The draft's internal arithmetic flag is sound — the '708 MW' aggregate does not reconcile with either the gross plant sum (~1,263 MW) or CEB's proportional share (~290–330 MW); keeping total_installed_capacity at LOW confidence is correct. The Brazil / Brasília-DF / GDF-control domicile facts and the CEBR3/CEBR5/CEBR6 B3 tickers are consistent with general knowledge of CEB and are retained.\n\nOVERALL CONFIDENCE: LOW. This record reproduces a prior draft that itself relied on search snippets; it has NOT been re-verified against primary sources here due to a fully exhausted search budget and a blanket egress-policy block on all relevant hosts. A re-run with restored WebSearch budget and/or proxy access to ri.ceb.com.br, cvm.gov.br and b3.com.br is required to confirm the total installed capacity, the 708 MW figure, per-plant stakes, and the Neoenergia bilateral-contract terms on official documents.</t>
        </is>
      </c>
    </row>
    <row r="15" ht="150" customHeight="1">
      <c r="A15" s="7" t="inlineStr">
        <is>
          <t>PUNTILLA CI</t>
        </is>
      </c>
      <c r="B15" s="8" t="inlineStr">
        <is>
          <t>Eléctrica Puntilla S.A.</t>
        </is>
      </c>
      <c r="C15" s="8" t="inlineStr">
        <is>
          <t>STRUCTURE: Eléctrica Puntilla S.A. is a small Chilean run-of-river hydro generator/commercializer controlled by Sociedad del Canal de Maipo (SCM). It (a) OWNS a small operational fleet — Central Puntilla (~22.1 MW, Maipo river), Central Itata (~20 MW), Central Vertientes (~1.7 MW), ~43.8 MW total, 100% run-of-river hydro; (b) OPERATES under contract, but does NOT own, ~30.9 MW of SCM hydro (Florida I/II/III, Eyzaguirre, El Rincón), per company release 'Eléctrica Puntilla firma contrato para operar las centrales de SCM'; and (c) has developed the 136 MW Central Ñuble de Pasada (subsidiary Hidroeléctrica Ñuble SpA / Proyecto Ñuble), acquired from Grupo CGE in Oct 2013 along with the San Fabián–Ancoa 220 kV line. CENTRAL ÑUBLE STATUS: the project was repeatedly delayed (originally targeted 2017; a 2020 disclosure cited commissioning 'no earlier than 2H 2024'), investment ~US$350–400m, ~620–640 GWh/yr expected. Its 136 MW is deliberately EXCLUDED from owned operational capacity because commercial-operation status could not be confirmed from any source in this session (all external fetches were blocked). If Ñuble is in fact in commercial operation, total owned capacity would be materially higher (~180 MW) — this should be confirmed against the company's latest Memoria Anual / Estados Financieros filed with CMF Chile. OWNERSHIP: the company originated from CMPC's 1996 sale of the Carena and Puntilla plants; Sociedad del Canal de Maipo is the controlling shareholder. PPAs: no specific PPA counterparty, volume or term could be confirmed from an accessible official disclosure; news coverage indicates Puntilla holds long-term energy supply commitments the Ñuble project was intended to back, but exact terms are not verifiable here — hence the empty PPAs array. SOURCING CAVEAT (critical): in this verification session the environment's outbound egress proxy returned policy denials (HTTP 403 / connect_rejected) for EVERY external host attempted — including electricapuntilla.cl, cmfchile.cl, es.wikipedia.org and general search domains — and the WebSearch quota was already fully exhausted (200/200). As a result NO figure in this record could be independently re-verified against a live source in this session; all numbers are carried over unchanged from the draft and remain low-to-medium confidence pending confirmation against the company's latest Memoria Anual / Estados Financieros filed with CMF Chile (RUT 96.817.230).</t>
        </is>
      </c>
      <c r="D15" s="8" t="inlineStr">
        <is>
          <t>VERIFICATION OUTCOME: No source could be independently re-verified in this session. I attempted to WebFetch the primary sources — the official company 'Centrales' page (electricapuntilla.cl), the CMF Chile regulator issuer page (cmfchile.cl), the company Estados Financieros PDF, and the es.wikipedia.org fallback — and every request failed with HTTP 403. I diagnosed the cause via the agent proxy status endpoint ($HTTPS_PROXY/__agentproxy/status), which recorded 'connect_rejected — gateway answered 403 to CONNECT (policy denial)' for these and for every other external host tested (including example.com, google.com, wikipedia.org, sec.gov), i.e. this session's egress policy blocks all outbound web fetches. Per the proxy README these are organization policy denials that must be reported, not retried or routed around. Additionally, the WebSearch budget was already fully exhausted (200/200 calls used) before I began, so I could not search for alternative/upgraded sources either. CORRECTIONS MADE: none to the underlying figures — I could not demonstrate any value to be wrong, so per instructions I preserved all draft data. I annotated each source_detail and the data_notes to flag that the cited URLs were NOT reachable this session and that no number was read off a live page, and I softened absolute capacity figures to '~' to reflect their unverified status. OVERALL CONFIDENCE: LOW. The record is internally consistent and matches general knowledge of Eléctrica Puntilla (a Sociedad del Canal de Maipo-controlled Chilean run-of-river hydro company, RUT 96.817.230), but nothing here is confirmed against a primary source in this session. Priority items to confirm when egress is available: (1) exact MW of Puntilla/Itata/Vertientes and total owned capacity from the company site or CMF Memoria Anual; (2) whether the 136 MW Central Ñuble de Pasada has reached commercial operation (would raise total owned capacity to ~180 MW); (3) any disclosed PPA/regulated-auction supply contracts.</t>
        </is>
      </c>
    </row>
    <row r="16" ht="150" customHeight="1">
      <c r="A16" s="12" t="inlineStr">
        <is>
          <t>WIG JA</t>
        </is>
      </c>
      <c r="B16" s="13" t="inlineStr">
        <is>
          <t>Wigton Energy Limited</t>
        </is>
      </c>
      <c r="C16" s="13" t="inlineStr">
        <is>
          <t>Company: Wigton Energy Limited (formerly Wigton Windfarm Limited, renamed on the JSE 8 Nov 2024); Bloomberg WIG JA / JSE ticker WIG. Jamaica's / the English-speaking Caribbean's largest wind facility. CURRENT INSTALLED GENERATION = 62.7 MW, 100% onshore wind, across three phases (Wigton I 20.7 MW / 2004; Wigton II 18 MW / 2010; Wigton III 24 MW / 2016), 44 turbines at Rose Hill, Manchester. All output sold to JPS (single-buyer national utility) under 20-year regulated PPAs; a Feb 2024 Addendum reportedly extended the Phase I PPA by 3 years (from 1 Apr 2024). FORWARD-LOOKING / NOT YET INSTALLED: ~70 MW of solar planned over ~2 years (50 MW utility-scale, PPA pending OUR approval; plus repowering the 20.7 MW Wigton I wind site to solar per a Nov 2024 licence addendum); Wigton was also named a GPE 100 MW renewable tender winner. As turbines are converted, management expects wind capacity to fall to ~42 MW while solar is added, so the mix will change materially in 2026-2027; as of the reporting date the operating fleet remains 62.7 MW wind only, so no solar is in capacity_mix. CRITICAL SOURCING CAVEAT (this verification run): NO live re-verification was possible. Every outbound HTTPS host returned HTTP 403 policy denials from the session's egress proxy (confirmed for wigtonenergy.com, jis.gov.jm, jamstockex.com, power-technology.com, ncbcapitalmarkets.com, and even en.wikipedia.org), and the session's WebSearch budget was already fully exhausted (200/200) before this task began. The draft's figures are therefore retained where they are consistent with well-established public facts and prior knowledge, but none of the cited source_urls were successfully opened during this run. The 62.7 MW total / 20.7-18-24 MW split / 44 turbines / Rose Hill, Manchester / Jamaica domicile are strongly consistent across the record and prior knowledge (higher confidence); the specific PPA-addendum dates, the solar build-out numbers, and the 8-Nov-2024 rename date are broker/press/company-reported and were not independently re-confirmed this run (lower confidence). Currency/pricing of PPAs not disclosed in the record; historical capex noted for context (Wigton I ~US$26m in 2004; Wigton II ~US$47.5m in 2010).</t>
        </is>
      </c>
      <c r="D16" s="13" t="inlineStr">
        <is>
          <t>VERIFICATION COULD NOT BE COMPLETED LIVE THIS RUN. Attempted actions: (1) WebFetch of wigtonenergy.com, jis.gov.jm, power-technology.com, and ncbcapitalmarkets.com — ALL returned HTTP 403 Forbidden. (2) Diagnosed via the agent proxy: curl to jis.gov.jm, jamstockex.com, wigtonenergy.com, power-technology.com AND en.wikipedia.org all returned "CONNECT tunnel failed, response 403" — i.e. organization egress-policy denials, not site-side bot blocks. Per proxy README these must be reported, not retried/routed around. (3) WebSearch was unavailable: the session had already consumed its full budget (200 of 200 calls) before this task, so no new searches could be issued. NET RESULT: I could not open a single one of the cited source_urls, so I could not confirm any figure against its source during this run. WHAT I DID: preserved the draft's data (per instructions not to delete good data), added explicit verification-limitation annotations into each source_detail, and lowered total_installed_capacity confidence from "high" to "medium" to reflect that the number — though consistent with well-established public knowledge of Wigton (62.7 MW, 44 turbines, three phases 20.7/18/24 MW, Rose Hill Manchester, Jamaica) — was NOT re-confirmed against a live source this run. CORRECTIONS MADE: none to underlying values (no basis to prove any wrong); only confidence and transparency annotations. LINKS THAT FAILED TO LOAD: all of them (403 egress-policy denials). OVERALL CONFIDENCE: medium — the core facts align with prior knowledge and are internally consistent, but this record carries NO fresh source confirmation. Recommend re-running in a session with web egress to (a) directly read the FY2024/FY2025 Annual Report and JSE disclosures on wigtonenergy.com and jamstockex.com to confirm the 62.7 MW figure and the 8-Nov-2024 rename, and (b) confirm the Feb-2024 Phase I PPA 3-year addendum and the 50 MW / 70 MW solar plans against primary company filings rather than broker/press summaries.</t>
        </is>
      </c>
    </row>
    <row r="17" ht="150" customHeight="1">
      <c r="A17" s="7" t="inlineStr">
        <is>
          <t>ENLASA CI</t>
        </is>
      </c>
      <c r="B17" s="8" t="inlineStr">
        <is>
          <t>Energía Latina S.A.</t>
        </is>
      </c>
      <c r="C17" s="8" t="inlineStr">
        <is>
          <t>SOURCING CONSTRAINT (persists and re-confirmed this session): every WebFetch to primary/official pages (enlasa.com, humphreys.cl, cmfchile.cl, guiachileenergia.cl, stockanalysis.com, bnamericas.com) returns HTTP 403 from the session's egress proxy (organization policy denial — proxy status log also shows enel.cl, en.wikipedia.org, reuters.com blocked), and the WebSearch budget is fully exhausted (200/200). Policy denials must not be retried. All figures are therefore inherited from the draft's WebSearch extracts of primary documents and could NOT be independently re-opened or re-verified this session — hence MEDIUM confidence.
STRUCTURE: 'Energía Latina S.A. (Enlasa)' is the listed parent (ENLASA CI); generation assets are held through subsidiary 'Enlasa Generación Chile S.A.' (the rated bond issuer). Capacity figures are for that generation subsidiary and represent essentially all group generation.
CAPACITY: Four diesel plants total 356.8 MW nominal / 296.1 MW maximum-effective (El Peñón 98.9, Trapén 98.0, Teno 70.2, San Lorenzo 68.5 MW — note the itemised per-plant nominal figures sum to 335.6 MW, ~21 MW short of the 356.8 MW group total, so per-plant values are indicative, likely excluding auxiliary/additional units), = ~0.9% of Chile's SEN as of Dec 2023 (consistent across Nov 2024 and Nov 2025 Humphreys reports). Two grid solar plants add 21.15 MWp / 16.9 MW max (online 2022–2023). Nominal (installed) vs maximum (effective) power differ materially for diesel; the % mix uses nominal MW and mixes MWp with MW, so treat as approximate. Older third-party snapshots cite ~321–336 MW; the 356.8 MW nominal is the most recent rating-report figure.
BUSINESS MODEL / PPAs: Enlasa is Chile's largest backup/peaking (respaldo) diesel generator. Revenue is dominated by firm-capacity payments (potencia de suficiencia), not conventional long-term energy PPAs; energy is sold on the spot market and to some end customers. No specific bilateral PPA counterparties/volumes/terms were found in accessible sources — a genuine disclosure gap, not an omission.
DIVESTITURES / EXCLUSIONS: (1) The Innovación en Energía S.A. (Inersa) GLP/natural-gas 'Teno' plant (~43 MW GLP / up to 50 MW gas), a JV with Empresas Gasco, was reportedly sold by Enlasa to Gasco in 2022 — excluded from Enlasa capacity. (2) A portfolio of 32 solar self-consumption plants (~11 MWp) was reportedly sold to Solarity (Brookfield) in 2025 — excluded. Both confirmed only via third-party/press sources.
CURRENCY/DATES: Diesel capacity as_of Dec 2023; some solar/portfolio changes through 2025. All figures should be reconfirmed against Enlasa's own CMF filings / memoria anual once those hosts are directly accessible.</t>
        </is>
      </c>
      <c r="D17" s="8" t="inlineStr">
        <is>
          <t>VERIFICATION OUTCOME: Live re-verification was NOT possible this session. All WebFetch calls to the cited hosts (enlasa.com, humphreys.cl, stockanalysis.com, guiachileenergia.cl, cmfchile.cl) returned HTTP 403 from the organization's egress proxy — a policy denial that must not be retried (confirmed against /root/.ccr proxy status, which also logs enel.cl, en.wikipedia.org, reuters.com, b3.com.br, cvm.gov.br as rejected). The WebSearch quota was already exhausted at the start of my work (200/200 calls used), so I could not fetch fresh search extracts either. I therefore could not independently open a single primary source to confirm the numbers.
WHAT I DID: (1) Attempted WebFetch on the Humphreys Nov 2025 PDF, enlasa.com, stockanalysis.com and guiachileenergia.cl — all 403. (2) Confirmed the block is organization egress policy, not authentication, via the proxy status endpoint. (3) Applied internal-consistency / knowledge checks to the draft rather than deleting sound data.
CORRECTIONS / ANNOTATIONS MADE: (a) Flagged a numerical inconsistency the draft glossed over — the four itemised diesel plants (98.9 + 98.0 + 70.2 + 68.5) sum to 335.6 MW nominal, ~21 MW below the stated 356.8 MW group total; I annotated per-plant figures as indicative rather than treating the sum as exact. (b) Added the CEN (Coordinador Eléctrico Nacional) as the operator behind the SEN firm-capacity mechanism and clarified San Lorenzo's region (Atacama) and Chercán's location (Coquimbo). (c) Made explicit in every source_detail that the source was NOT re-opened this session. No values were changed, because I have no verified basis to change them; the draft's figures are internally coherent and consistent with Enlasa's known profile (Chile's largest diesel 'respaldo' generator, potencia-de-suficiencia-driven revenue).
CONFIDENCE: MEDIUM overall for the capacity and business-model narrative (well-structured, self-consistent, sourced to a credit-rating agency, and consistent with general knowledge of Enlasa), but the specific MW figures, percentages, and PPA/revenue splits remain UNVERIFIED against primary documents in this session. The domicile (Chile, Vitacura/Santiago, sociedad anónima incorporated 2005) is high-plausibility but rests only on third-party profiles that could not be re-opened. All source links are the draft's; none could be confirmed live, so none can be certified as reachable/supporting the claim this session. Anyone relying on the exact numbers should re-open the Humphreys reports and Enlasa's CMF memoria anual once these hosts are un-blocked.</t>
        </is>
      </c>
    </row>
    <row r="18" ht="150" customHeight="1">
      <c r="A18" s="12" t="inlineStr">
        <is>
          <t>AESO3 BZ</t>
        </is>
      </c>
      <c r="B18" s="13" t="inlineStr">
        <is>
          <t>AES Brasil Energia S.A. / AES Brasil Operaco</t>
        </is>
      </c>
      <c r="C18" s="13" t="inlineStr">
        <is>
          <t>CORPORATE STATUS: AES Brasil no longer exists as an independent listed company. In 2024 it was acquired by and integrated (incorporated) into Auren Energia S.A. (B3: AURE3, controlled by Votorantim and CPP Investments): CADE approved mid-2024 and the incorporation closed in late 2024. The combined Auren+AES entity became one of Brazil's largest generators, ~8.8 GW across ~39 operational/construction assets. The ticker 'AESO3' corresponds to AES Brasil Operacoes S.A. (the operating subsidiary that issued debentures); the listed holding was AES Brasil Energia S.A. (formerly AES Tiete; equity ticker AESB3, ex-TIET). Figures here are AES Brasil's LAST STANDALONE disclosure (~FY2023/early 2024).
CAPACITY: 100% renewable. Company-disclosed: 4.2 GW operational + ~1.0 GW under construction = 5.2 GW total. Breakdown: hydro 2.7 GW; wind 2.2 GW (incl. ~1.0 GW under construction, so ~1.2 GW operational); solar 295.1 MW operational. NOTE/CORRECTION: the prior draft cited a company headline mix of '43% hydro' on the 5.2 GW total basis, but 2.7/5.2 = ~52%, so that 43% figure is internally inconsistent and should NOT be relied on as company-stated; it has been dropped from the capacity_mix lines. The per-technology percentages shown (hydro ~64%, wind ~29%, solar ~7%) are ANALYST-DERIVED on the ~4.2 GW OPERATIONAL basis and are internally consistent (2.7+1.2+0.295 = ~4.2 GW). Operational wind MW (~1,205) is derived (2.2 GW total minus 1.0 GW under construction), not a directly quoted figure.
SOURCING LIMITATION (this pass): No primary source could be re-fetched. The AES Brasil IR domain (ri.aesbrasil.com.br) no longer resolves (DNS ENOTFOUND), the successor Auren IR host (ri.aurenenergia.com.br) also did not resolve/was blocked, and every alternative (aesbrasil.com.br, the mziq CVM-filing API, Wikipedia, Reuters, B3, CVM/RAD, canalsolar, riotimesonline) returned an organization egress-policy HTTP 403 that policy prohibits retrying. The WebSearch budget was also fully exhausted (200/200) at the start of this pass. Consequently the numbers were NOT re-verified line-by-line against any live source; they are retained from the prior pass, cross-checked only for internal consistency and against the analyst's own knowledge, and are consistent with both. For a fully citable refresh, consult Auren Energia's IR (ri.aurenenergia.com.br) and CVM/RAD filings under CNPJ 37.663.076/0001-07 (AES Brasil Energia S.A.).
PPAs: AES Brasil's model combines regulated (ACR) auction PPAs with free-market (ACL) bilateral and corporate self-production (autoproducao) PPAs. Best-documented specific corporate PPAs are the two Unipar Carbocloro deals (Tucano JV 155 MW, Bahia; and Cajuina 91 MW wind with 40 avg MW sold over 20 years). Aggregate contracted-energy volumes (avg MW / GWh split between ACR and ACL) were not obtained.</t>
        </is>
      </c>
      <c r="D18" s="13" t="inlineStr">
        <is>
          <t>RE-CHECK ATTEMPTED FOR: total installed capacity, hydro/wind/solar mix lines, both Unipar PPAs, and country of domicile.
WHAT COULD BE RE-VERIFIED: Nothing against a live source. Every fetch failed. The AES Brasil IR domain ri.aesbrasil.com.br no longer resolves (DNS ENOTFOUND, confirming the draft's note that the page is offline post-merger). All other cited and alternative hosts - aesbrasil.com.br, the mziq CVM-filing API, canalsolar, riotimesonline, and independent fallbacks en.wikipedia.org, www.reuters.com, www.b3.com.br, www.rad.cvm.gov.br, and the successor ri.aurenenergia.com.br - were rejected with organization egress-policy HTTP 403 (confirmed in the agent-proxy failure log), which policy forbids retrying or routing around. The WebSearch tool budget was already exhausted (200/200) before this pass began, so no new search could be run either.
CORRECTIONS MADE (from internal-consistency review + known facts, not from a fetched source): (1) Fixed the successor IR URL to ri.aurenenergia.com.br (the draft's 'ri.auren.com.br' does not resolve; the live host in the proxy log is ri.aurenenergia.com.br). (2) Removed reliance on the claimed company-stated '43% hydro of 5.2 GW' figure - it is arithmetically inconsistent (2.7/5.2 = ~52%), so it is now flagged in data_notes and excluded from the capacity_mix percentages, which are explicitly marked analyst-derived on the 4.2 GW operational basis. (3) Clarified in the ticker/notes that AESB3 was the equity ticker and AESO3 is the operating subsidiary's debenture issuer.
CONSISTENCY CHECK (passed): 2.7 GW hydro + ~1.2 GW operational wind + 0.295 GW solar = ~4.2 GW operational; +1.0 GW under construction = 5.2 GW total. The Auren/AES Brasil merger (CADE approval mid-2024, close late 2024; combined ~8.8 GW) and the two Unipar deals (Tucano 155 MW JV, Bahia; Cajuina 91 MW / 40 avg MW, RN) are consistent with the analyst's knowledge as of the Jan 2026 cutoff.
OVERALL CONFIDENCE: MEDIUM for the standalone AES Brasil capacity/mix and corporate-status facts (internally consistent and matching known information, but not re-confirmed against any live primary source this pass); LOW-to-MEDIUM for the exact PPA figures (third-party press, not re-fetched). This record should be treated as unverified-this-pass pending a refresh once the egress policy allows Auren IR / CVM access and the WebSearch budget is restored.</t>
        </is>
      </c>
    </row>
    <row r="19" ht="150" customHeight="1">
      <c r="A19" s="7" t="inlineStr">
        <is>
          <t>PRMN3B BZ</t>
        </is>
      </c>
      <c r="B19" s="8" t="inlineStr">
        <is>
          <t>Produtores Energéticos de Manso S.A.</t>
        </is>
      </c>
      <c r="C19" s="8" t="inlineStr">
        <is>
          <t>PROMAN is a single-asset investment/holding company, NOT an operating utility with a fleet. It holds a 30% economic interest in one hydroelectric plant — the Usina Hidrelétrica de Manso (APM-Manso / 'Aproveitamento Múltiplo de Manso'), a 210 MW plant (4 x 52.5 MW units) on the Rio Manso in Chapada dos Guimarães, Mato Grosso. The plant is operated by and 70%-owned by Eletrobras Furnas (the draft states Furnas has been rebranded/incorporated into 'Axia Energia' in the Eletrobras restructuring — this specific renaming could not be independently verified in this session and should be treated as uncertain). PROMAN's private consortium originally derived from Odebrecht, Servix and Pesa interests.\n\nCAPACITY FRAMING: The reported 210 MW is the full plant total (the figure PROMAN and Furnas cite). PROMAN's attributable share is ~30% (~63 MW, a derived figure), and its commercially relevant metric is ~92.0 MW/yr of assured firm energy under Concession Contract nº 10/2000. 100% of exposure is hydro; no wind/solar/thermal.\n\nPPA: Effectively all of PROMAN's assured energy is sold under a single long-term bilateral contract to Furnas/Axia Energia (signed 2000); PROMAN has negligible free-market (ACL) merchant exposure. The 364,604.14 MWh / ~R$113.8m figure is the committed stock for 2023-2035.\n\nSOURCING LIMITATION (CRITICAL): This verification pass could not fetch ANY external source. Every cited host (furnas.com.br, promanmt.com.br, ivalor.com.br, pt.wikipedia.org, monitormercantil.com.br, rad.cvm.gov.br) returned HTTP 403 organization egress-policy denials via the agent proxy, and the WebSearch budget was fully exhausted (200/200). No figure in this record was independently re-confirmed against a live source. The retained figures are consistent with well-established public record for APM-Manso (210 MW, 4x52.5 MW, Furnas/PROMAN 70/30, MT location, ~92 MW firm energy, concession to ~2037), but the exact financial-contract values (364,604.14 MWh, R$113.8m), the precise concession end date, and the 'Axia Energia' successor naming remain unverified.</t>
        </is>
      </c>
      <c r="D19" s="8" t="inlineStr">
        <is>
          <t>VERIFICATION WAS SEVERELY CONSTRAINED — no source could be independently confirmed this pass. What I attempted: WebFetch on the Furnas plant page (210 MW claim), pt.wikipedia UHE Manso, ivalor PRMN3B (domicile), and the PROMAN corporate site. ALL returned HTTP 403. The agent-proxy status endpoint confirms these are organization egress-policy denials (connect_rejected / '403 to CONNECT policy denial') affecting furnas.com.br, promanmt.com.br, ivalor.com.br, wikipedia, b3.com.br, rad.cvm.gov.br, monitormercantil hosts, etc. — a near-total external block for this session. WebSearch was unavailable (budget exhausted, 200/200), so I could not locate alternative/mirror sources either. Per the proxy README, policy denials must not be retried or routed around.\n\nWhat I did instead: cross-checked every figure against my own domain knowledge and the draft's internal consistency. The load-bearing facts — 210 MW plant, 4 x 52.5 MW units, hydro on the Rio Manso in Chapada dos Guimarães (MT), Furnas 70% operator / PROMAN 30%, single-asset holding company, ~92 MW firm energy, concession from 2000 to ~2037 — are all consistent with long-established public record for APM-Manso and are retained unchanged (no value was shown to be wrong, so none was deleted).\n\nWhat I could NOT verify and down-weighted: (1) the exact committed-sale figures 364,604.14 MWh and ~R$113,789k — lowered to medium/low confidence; (2) the precise concession end date (10 Sep 2037 vs the 2035 sale-window reference); (3) the claim that Furnas was rebranded/incorporated into 'Axia Energia' — I could not confirm this and flag it as uncertain (counterparty may still be simply 'Eletrobras Furnas'); (4) the exact HQ street address and CNPJ. No cited link was shown to be dead in the sense of not existing — they were reachable-but-policy-blocked, not 404.\n\nOverall confidence: MEDIUM. High confidence on the qualitative structure (single 210 MW hydro asset, 30% PROMAN stake, firm-energy sold to the majority partner). Medium/low confidence on the precise financial-contract numbers and the Axia Energia naming, none of which could be re-sourced. A re-run in an environment where furnas.com.br, promanmt.com.br and the CVM/Monitor Mercantil filings are reachable is recommended to lock down the contract values, concession end date, and current legal name of the 70% partner.</t>
        </is>
      </c>
    </row>
    <row r="20" ht="150" customHeight="1">
      <c r="A20" s="12" t="inlineStr">
        <is>
          <t>GEB CB</t>
        </is>
      </c>
      <c r="B20" s="13" t="inlineStr">
        <is>
          <t>Grupo Energía Bogotá S.A. E.S.P.</t>
        </is>
      </c>
      <c r="C20" s="13" t="inlineStr">
        <is>
          <t>GENERATION MODEL: GEB is a diversified energy HOLDING company, not a generator. Its wholly-/majority-owned operating businesses are (a) electricity TRANSMISSION in Colombia (the GEB parent's transmission business plus stakes in transmission ventures), (b) natural-gas TRANSPORT in Colombia via TGI, (c) gas DISTRIBUTION in Peru via Cálidda (Lima/Callao) and Contugas (Ica), and (d) transmission concessions in Guatemala (Trecsa/EEBIS) and Brazil (Argo). None of these directly own/operate power generation. Revenue is predominantly regulated transmission tariffs and gas ship-or-pay/firm-transport contracts — NOT generation PPAs — which is why the PPAs array is empty.
GENERATION EXPOSURE (indirect, via associate): GEB holds 42.515% of Enel Colombia S.A. E.S.P.; Enel Américas holds ~57.345% and minorities ~0.140% (source: Enel Colombia official organizational-structure page, https://www.enel.com.co/en/investors/enel-colombia/enel-organizational-structure.html; corroborated by the 2021 Enel Américas / GEB merger press release). Enel Colombia was created by the 2022 merger of Emgesa (generation), Codensa (distribution), Enel Green Power Colombia and ESSA2. GEB does NOT control Enel Colombia and accounts for it by the equity method, so the capacity below is the 100% capacity of the associate, NOT GEB-owned capacity, and is deliberately left OUT of the capacity_mix field to avoid overstating GEB.
ENEL COLOMBIA installed capacity (100% of associate, ~2024): total ≈ 3,631 MW — Hydro ≈ 3,097 MW (~85%), Solar PV ≈ 308 MW (~8.5%), Thermal/coal ≈ 226 MW (~6%). Source: Enel Colombia 2024 financial-results communications and the Enel Colombia Corporate Presentation Sep-2024. This is an official Enel Colombia (associate) source, but NON-official for GEB. Confidence MEDIUM because (i) the exact snapshot date is ambiguous and (ii) the ~370 MW Guayepo I&amp;II solar plant entered commercial operation in Dec-2024, so year-end 2024 solar/total may be higher than the 308/3,631 MW shown in Sep-2024 materials. A GEB pro-rata figure of 42.515% x ~3,631 MW ≈ 1,544 MW attributable is an ANALYST calculation, NOT a figure GEB discloses.
RENEWABLES/'GENERATION' CAVEAT: GEB has publicly stated ambitions to develop ~1 GW of its own wind/solar in Colombia by end of decade and is building the 'Colectora' project in La Guajira — but Colectora is a TRANSMISSION line to evacuate ~2,300 MW of third-party wind/solar (expected online 2026), NOT GEB-owned generation. As of FY2024 GEB has no material operating generation of its own.
PPAs: No generation power-purchase agreements are disclosed at the GEB level (it does not sell generation output). Long-term contracting relevant to the group is (a) gas ship-or-pay/firm-transport capacity contracts at TGI/Cálidda/Contugas and (b) energy sales via regulated auctions (ACR) and free-market (ACL) contracts at the Enel Colombia associate — both sit below/outside GEB's own P&amp;L as an operator and are not disclosed by GEB as its PPAs, hence the empty PPAs array.
VERIFICATION LIMITATION: In this fact-check run none of the cited official pages (grupoenergiabogota.com, enel.com.co) or third-party pages (stockanalysis.com, marketscreener.com, bogota.gov.co) could be fetched — every request was denied with HTTP 403 at the proxy CONNECT layer under the session's organization egress policy, and the WebSearch budget was fully exhausted (200/200). The numbers above are therefore CARRIED FORWARD from the draft, cross-checked only against the analyst's own knowledge base (which is consistent with them), not re-confirmed against live official pages.</t>
        </is>
      </c>
      <c r="D20" s="13" t="inlineStr">
        <is>
          <t>VERIFICATION COULD NOT BE COMPLETED against live sources in this run. I attempted to WebFetch the key cited URLs — grupoenergiabogota.com/en/geb-group, grupoenergiabogota.com/en, enel.com.co/en/investors/enel-colombia/enel-organizational-structure.html, enel.com.co/en/press/news/d202502-financial-results-2024.html, stockanalysis.com/quote/bvc/GEB, and marketscreener — and EVERY request returned HTTP 403 Forbidden. The proxy status endpoint (curl $HTTPS_PROXY/__agentproxy/status) shows these as CONNECT rejections / organization egress-policy denials ('gateway answered 403 to CONNECT (policy denial or upstream failure)'), not target-site rate limiting. Per the proxy README I did not retry or route around policy denials. Separately, the session's WebSearch budget was fully exhausted (200/200) before I could search, so I could not substitute alternative/upgraded sources either.
WHAT I COULD DO: I reviewed the draft for internal consistency and against my own domain knowledge (cutoff Jan 2026). Everything in the draft is consistent with what I know to be true: GEB is a Colombian (Bogotá-domiciled) energy HOLDING focused on electricity transmission and natural-gas transport/distribution across Colombia, Peru, Brazil and Guatemala; it was renamed from Empresa de Energía de Bogotá in 2017; Distrito Capital owns ~66%; GEB owns 42.515% of Enel Colombia (Enel Américas ~57.3%) and accounts for it by the equity method; GEB owns essentially no generation directly; Enel Colombia's fleet is ~3.6 GW and predominantly hydro (~85%) with growing solar (Guayepo I&amp;II ~370 MW online Dec-2024). The decision to record total_installed_capacity as N/A and to keep capacity_mix and PPAs empty (because the generation sits in a non-controlled equity-method associate) is analytically sound and I did not change it.
WHAT I CHANGED: No data values were altered — I could not demonstrate any figure to be wrong, so per instructions I preserved the draft. I ONLY annotated the source_detail fields and data_notes to flag that the cited pages were NOT re-fetched live in this run due to the egress-policy 403s and exhausted search budget.
OVERALL CONFIDENCE: MEDIUM. High confidence in the qualitative structure (GEB = transmission/gas holding, no owned generation, 42.515% Enel Colombia stake, Colombian domicile) because it is well established and internally consistent. Medium/low confidence that the precise Enel Colombia MW figures (3,631 total / 3,097 hydro / 308 solar / 226 thermal) are current as of the exact FY2024 year-end date, since they could not be re-confirmed against the live Enel source and the Guayepo commissioning may push year-end solar/total higher. A re-run in an environment where grupoenergiabogota.com and enel.com.co are reachable is recommended to close out these numbers.</t>
        </is>
      </c>
    </row>
  </sheetData>
  <mergeCells count="1">
    <mergeCell ref="A1:D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0"/>
  <sheetViews>
    <sheetView showGridLines="0" workbookViewId="0">
      <pane ySplit="2" topLeftCell="A3" activePane="bottomLeft" state="frozen"/>
      <selection pane="bottomLeft" activeCell="A1" sqref="A1"/>
    </sheetView>
  </sheetViews>
  <sheetFormatPr baseColWidth="8" defaultRowHeight="15"/>
  <cols>
    <col width="12" customWidth="1" min="1" max="1"/>
    <col width="30" customWidth="1" min="2" max="2"/>
    <col width="5" customWidth="1" min="3" max="3"/>
    <col width="100" customWidth="1" min="4" max="4"/>
  </cols>
  <sheetData>
    <row r="1" ht="24" customHeight="1">
      <c r="A1" s="5" t="inlineStr">
        <is>
          <t>Key sources used per company</t>
        </is>
      </c>
    </row>
    <row r="2" ht="30" customHeight="1">
      <c r="A2" s="6" t="inlineStr">
        <is>
          <t>Ticker</t>
        </is>
      </c>
      <c r="B2" s="6" t="inlineStr">
        <is>
          <t>Company</t>
        </is>
      </c>
      <c r="C2" s="6" t="inlineStr">
        <is>
          <t>#</t>
        </is>
      </c>
      <c r="D2" s="6" t="inlineStr">
        <is>
          <t>Key source URL (official first)</t>
        </is>
      </c>
    </row>
    <row r="3" ht="15" customHeight="1">
      <c r="A3" s="7" t="inlineStr">
        <is>
          <t>AXIA3 BZ</t>
        </is>
      </c>
      <c r="B3" s="8" t="inlineStr">
        <is>
          <t>Centrais Elétricas Brasileiras S.A. – AXIA E</t>
        </is>
      </c>
      <c r="C3" s="11" t="n">
        <v>1</v>
      </c>
      <c r="D3" s="9" t="inlineStr">
        <is>
          <t>https://axia.com.br/en/w/eletrobras-agora-e-axia</t>
        </is>
      </c>
    </row>
    <row r="4" ht="15" customHeight="1">
      <c r="A4" s="7" t="inlineStr"/>
      <c r="B4" s="8" t="inlineStr"/>
      <c r="C4" s="11" t="n">
        <v>2</v>
      </c>
      <c r="D4" s="9" t="inlineStr">
        <is>
          <t>https://ri.axia.com.br/en/axia/corporate-profile/</t>
        </is>
      </c>
    </row>
    <row r="5" ht="15" customHeight="1">
      <c r="A5" s="7" t="inlineStr"/>
      <c r="B5" s="8" t="inlineStr"/>
      <c r="C5" s="11" t="n">
        <v>3</v>
      </c>
      <c r="D5" s="9" t="inlineStr">
        <is>
          <t>https://www.axia.com.br/en/esg/sustainability-report-2025/media</t>
        </is>
      </c>
    </row>
    <row r="6" ht="15" customHeight="1">
      <c r="A6" s="7" t="inlineStr"/>
      <c r="B6" s="8" t="inlineStr"/>
      <c r="C6" s="11" t="n">
        <v>4</v>
      </c>
      <c r="D6" s="9" t="inlineStr">
        <is>
          <t>https://www.sec.gov/Archives/edgar/data/1439124/000129281425003589/ebr20251022_6k.htm</t>
        </is>
      </c>
    </row>
    <row r="7" ht="15" customHeight="1">
      <c r="A7" s="7" t="inlineStr"/>
      <c r="B7" s="8" t="inlineStr"/>
      <c r="C7" s="11" t="n">
        <v>5</v>
      </c>
      <c r="D7" s="9" t="inlineStr">
        <is>
          <t>https://www.stocktitan.net/sec-filings/AXIA/6-k-brazilian-electric-power-co-current-report-foreign-issuer-981b697daec3.html</t>
        </is>
      </c>
    </row>
    <row r="8" ht="15" customHeight="1">
      <c r="A8" s="7" t="inlineStr"/>
      <c r="B8" s="8" t="inlineStr"/>
      <c r="C8" s="11" t="n">
        <v>6</v>
      </c>
      <c r="D8" s="9" t="inlineStr">
        <is>
          <t>https://brazilstockguide.com/insights/axia-energia-4q25-results/</t>
        </is>
      </c>
    </row>
    <row r="9" ht="15" customHeight="1">
      <c r="A9" s="7" t="inlineStr"/>
      <c r="B9" s="8" t="inlineStr"/>
      <c r="C9" s="11" t="n">
        <v>7</v>
      </c>
      <c r="D9" s="9" t="inlineStr">
        <is>
          <t>https://axia.com.br/w/leilao-reserva-capacidade-investimento</t>
        </is>
      </c>
    </row>
    <row r="10" ht="15" customHeight="1">
      <c r="A10" s="7" t="inlineStr"/>
      <c r="B10" s="8" t="inlineStr"/>
      <c r="C10" s="11" t="n">
        <v>8</v>
      </c>
      <c r="D10" s="9" t="inlineStr">
        <is>
          <t>https://www.tipranks.com/news/company-announcements/axia-energia-wins-190-mw-in-brazils-2026-capacity-auction-for-luiz-gonzaga-expansion</t>
        </is>
      </c>
    </row>
    <row r="11" ht="15" customHeight="1">
      <c r="A11" s="7" t="inlineStr"/>
      <c r="B11" s="8" t="inlineStr"/>
      <c r="C11" s="11" t="n">
        <v>9</v>
      </c>
      <c r="D11" s="9" t="inlineStr">
        <is>
          <t>https://br.advfn.com/jornal/2026/03/axia-energia-vence-leilao-de-capacidade-2026-e-projeta-investimento-de-r-1-bilhao-para-expansao-de-geracao</t>
        </is>
      </c>
    </row>
    <row r="12" ht="15" customHeight="1">
      <c r="A12" s="7" t="inlineStr"/>
      <c r="B12" s="8" t="inlineStr"/>
      <c r="C12" s="11" t="n">
        <v>10</v>
      </c>
      <c r="D12" s="9" t="inlineStr">
        <is>
          <t>https://api.mziq.com/mzfilemanager/v2/d/abb77a17-3348-4bc7-849a-154998e06ca3/e4d603ae-8eea-4da8-2814-6db36f5e91e9?origin=2</t>
        </is>
      </c>
    </row>
    <row r="13" ht="15" customHeight="1">
      <c r="A13" s="7" t="inlineStr"/>
      <c r="B13" s="8" t="inlineStr"/>
      <c r="C13" s="11" t="n">
        <v>11</v>
      </c>
      <c r="D13" s="9" t="inlineStr">
        <is>
          <t>https://br.investing.com/news/stock-market-news/axia-energia-axia5-e-axia6-deixam-a-b3-e-so-restam-axia3-e-axia7-na-carteira-1967389</t>
        </is>
      </c>
    </row>
    <row r="14" ht="15" customHeight="1">
      <c r="A14" s="12" t="inlineStr">
        <is>
          <t>ENEV3 BZ</t>
        </is>
      </c>
      <c r="B14" s="13" t="inlineStr">
        <is>
          <t>Eneva S.A.</t>
        </is>
      </c>
      <c r="C14" s="16" t="n">
        <v>1</v>
      </c>
      <c r="D14" s="14" t="inlineStr">
        <is>
          <t>https://www.eneva.com.br/en/our-operations/power-generation/</t>
        </is>
      </c>
    </row>
    <row r="15" ht="15" customHeight="1">
      <c r="A15" s="12" t="inlineStr"/>
      <c r="B15" s="13" t="inlineStr"/>
      <c r="C15" s="16" t="n">
        <v>2</v>
      </c>
      <c r="D15" s="14" t="inlineStr">
        <is>
          <t>https://ri.eneva.com.br/en/</t>
        </is>
      </c>
    </row>
    <row r="16" ht="15" customHeight="1">
      <c r="A16" s="12" t="inlineStr"/>
      <c r="B16" s="13" t="inlineStr"/>
      <c r="C16" s="16" t="n">
        <v>3</v>
      </c>
      <c r="D16" s="14" t="inlineStr">
        <is>
          <t>https://www.eneva.com.br/imprensa/noticias/eneva-da-inicio-a-operacao-de-um-dos-maiores-complexos-solares-das-americas-futura-i-na-bahia/</t>
        </is>
      </c>
    </row>
    <row r="17" ht="15" customHeight="1">
      <c r="A17" s="12" t="inlineStr"/>
      <c r="B17" s="13" t="inlineStr"/>
      <c r="C17" s="16" t="n">
        <v>4</v>
      </c>
      <c r="D17" s="14" t="inlineStr">
        <is>
          <t>https://www.econodata.com.br/consulta-empresa/04423567000121-eneva-sa</t>
        </is>
      </c>
    </row>
    <row r="18" ht="15" customHeight="1">
      <c r="A18" s="12" t="inlineStr"/>
      <c r="B18" s="13" t="inlineStr"/>
      <c r="C18" s="16" t="n">
        <v>5</v>
      </c>
      <c r="D18" s="14" t="inlineStr">
        <is>
          <t>https://finance.yahoo.com/quote/ENEV3.SA/profile/</t>
        </is>
      </c>
    </row>
    <row r="19" ht="15" customHeight="1">
      <c r="A19" s="12" t="inlineStr"/>
      <c r="B19" s="13" t="inlineStr"/>
      <c r="C19" s="16" t="n">
        <v>6</v>
      </c>
      <c r="D19" s="14" t="inlineStr">
        <is>
          <t>https://www.enerdata.net/publications/daily-energy-news/eneva-brazil-takes-over-16-gw-gas-fired-plant-and-17-gw-project.html</t>
        </is>
      </c>
    </row>
    <row r="20" ht="15" customHeight="1">
      <c r="A20" s="12" t="inlineStr"/>
      <c r="B20" s="13" t="inlineStr"/>
      <c r="C20" s="16" t="n">
        <v>7</v>
      </c>
      <c r="D20" s="14" t="inlineStr">
        <is>
          <t>https://www.power-technology.com/data-insights/power-plant-profile-ute-porto-de-sergipe-i-power-plant-brazil/</t>
        </is>
      </c>
    </row>
    <row r="21" ht="15" customHeight="1">
      <c r="A21" s="12" t="inlineStr"/>
      <c r="B21" s="13" t="inlineStr"/>
      <c r="C21" s="16" t="n">
        <v>8</v>
      </c>
      <c r="D21" s="14" t="inlineStr">
        <is>
          <t>https://www.gem.wiki/Porto_de_Sergipe_power_station</t>
        </is>
      </c>
    </row>
    <row r="22" ht="15" customHeight="1">
      <c r="A22" s="12" t="inlineStr"/>
      <c r="B22" s="13" t="inlineStr"/>
      <c r="C22" s="16" t="n">
        <v>9</v>
      </c>
      <c r="D22" s="14" t="inlineStr">
        <is>
          <t>https://www.gem.wiki/Itaqui_power_station</t>
        </is>
      </c>
    </row>
    <row r="23" ht="15" customHeight="1">
      <c r="A23" s="12" t="inlineStr"/>
      <c r="B23" s="13" t="inlineStr"/>
      <c r="C23" s="16" t="n">
        <v>10</v>
      </c>
      <c r="D23" s="14" t="inlineStr">
        <is>
          <t>https://www.gem.wiki/Pec%C3%A9m_Energia_II_power_station</t>
        </is>
      </c>
    </row>
    <row r="24" ht="15" customHeight="1">
      <c r="A24" s="12" t="inlineStr"/>
      <c r="B24" s="13" t="inlineStr"/>
      <c r="C24" s="16" t="n">
        <v>11</v>
      </c>
      <c r="D24" s="14" t="inlineStr">
        <is>
          <t>https://eneva.com.br/jaguatirica-ii/</t>
        </is>
      </c>
    </row>
    <row r="25" ht="15" customHeight="1">
      <c r="A25" s="12" t="inlineStr"/>
      <c r="B25" s="13" t="inlineStr"/>
      <c r="C25" s="16" t="n">
        <v>12</v>
      </c>
      <c r="D25" s="14" t="inlineStr">
        <is>
          <t>https://www.marketscreener.com/quote/stock/BANCO-BTG-PACTUAL-S-A-34041823/news/Eneva-S-A-agreed-to-acquire-Four-thermoelectric-assets-of-BTG-Pactual-47447603/</t>
        </is>
      </c>
    </row>
    <row r="26" ht="15" customHeight="1">
      <c r="A26" s="12" t="inlineStr"/>
      <c r="B26" s="13" t="inlineStr"/>
      <c r="C26" s="16" t="n">
        <v>13</v>
      </c>
      <c r="D26" s="14" t="inlineStr">
        <is>
          <t>https://canalsolar.com.br/en/eneva-markets-all-future-solar-complex-energy/</t>
        </is>
      </c>
    </row>
    <row r="27" ht="15" customHeight="1">
      <c r="A27" s="12" t="inlineStr"/>
      <c r="B27" s="13" t="inlineStr"/>
      <c r="C27" s="16" t="n">
        <v>14</v>
      </c>
      <c r="D27" s="14" t="inlineStr">
        <is>
          <t>https://www.nsenergybusiness.com/company-news/eneva-starts-commercial-operation-837mwp-futura-i-solar-complex/</t>
        </is>
      </c>
    </row>
    <row r="28" ht="15" customHeight="1">
      <c r="A28" s="12" t="inlineStr"/>
      <c r="B28" s="13" t="inlineStr"/>
      <c r="C28" s="16" t="n">
        <v>15</v>
      </c>
      <c r="D28" s="14" t="inlineStr">
        <is>
          <t>https://researchxp1.s3.sa-east-1.amazonaws.com/2025.11.30+-+ENEV+IoC.pdf</t>
        </is>
      </c>
    </row>
    <row r="29" ht="15" customHeight="1">
      <c r="A29" s="12" t="inlineStr"/>
      <c r="B29" s="13" t="inlineStr"/>
      <c r="C29" s="16" t="n">
        <v>16</v>
      </c>
      <c r="D29" s="14" t="inlineStr">
        <is>
          <t>https://datamarnews.com/noticias/eneva-diamante-win-capacity-auction-for-new-natural-gas-fired-power-plant-at-pecem-complex/</t>
        </is>
      </c>
    </row>
    <row r="30" ht="15" customHeight="1">
      <c r="A30" s="7" t="inlineStr">
        <is>
          <t>EGIE3 BZ</t>
        </is>
      </c>
      <c r="B30" s="8" t="inlineStr">
        <is>
          <t>Engie Brasil Energia S.A.</t>
        </is>
      </c>
      <c r="C30" s="11" t="n">
        <v>1</v>
      </c>
      <c r="D30" s="9" t="inlineStr">
        <is>
          <t>https://www.engie.com.br/wp-content/uploads/2026/05/Fact-Sheet-1Q26_ENG-1.pdf</t>
        </is>
      </c>
    </row>
    <row r="31" ht="15" customHeight="1">
      <c r="A31" s="7" t="inlineStr"/>
      <c r="B31" s="8" t="inlineStr"/>
      <c r="C31" s="11" t="n">
        <v>2</v>
      </c>
      <c r="D31" s="9" t="inlineStr">
        <is>
          <t>https://www.engie.com.br/en/imprensa/press-releases/engie-brasil-energia-records-net-operating-revenue-of-r-3-4-billion-in-the-first-quarter-of-2026/</t>
        </is>
      </c>
    </row>
    <row r="32" ht="15" customHeight="1">
      <c r="A32" s="7" t="inlineStr"/>
      <c r="B32" s="8" t="inlineStr"/>
      <c r="C32" s="11" t="n">
        <v>3</v>
      </c>
      <c r="D32" s="9" t="inlineStr">
        <is>
          <t>https://www.engie.com.br/wp-content/uploads/2025/11/Fact-Sheet-3T25_ENG.pdf</t>
        </is>
      </c>
    </row>
    <row r="33" ht="15" customHeight="1">
      <c r="A33" s="7" t="inlineStr"/>
      <c r="B33" s="8" t="inlineStr"/>
      <c r="C33" s="11" t="n">
        <v>4</v>
      </c>
      <c r="D33" s="9" t="inlineStr">
        <is>
          <t>https://www.engie.com.br/wp-content/uploads/2025/02/Fact-Sheet-4Q24_ENG.pdf</t>
        </is>
      </c>
    </row>
    <row r="34" ht="15" customHeight="1">
      <c r="A34" s="7" t="inlineStr"/>
      <c r="B34" s="8" t="inlineStr"/>
      <c r="C34" s="11" t="n">
        <v>5</v>
      </c>
      <c r="D34" s="9" t="inlineStr">
        <is>
          <t>https://www.engie.com.br/wp-content/uploads/2025/03/DF-EBE-31.12.2024-versao-ingles.pdf</t>
        </is>
      </c>
    </row>
    <row r="35" ht="15" customHeight="1">
      <c r="A35" s="7" t="inlineStr"/>
      <c r="B35" s="8" t="inlineStr"/>
      <c r="C35" s="11" t="n">
        <v>6</v>
      </c>
      <c r="D35" s="9" t="inlineStr">
        <is>
          <t>https://www.engie.com.br/en/investors/engie-brasil-energia-corporation/</t>
        </is>
      </c>
    </row>
    <row r="36" ht="15" customHeight="1">
      <c r="A36" s="7" t="inlineStr"/>
      <c r="B36" s="8" t="inlineStr"/>
      <c r="C36" s="11" t="n">
        <v>7</v>
      </c>
      <c r="D36" s="9" t="inlineStr">
        <is>
          <t>https://www.engie.com.br/en/institutional/about-engie/</t>
        </is>
      </c>
    </row>
    <row r="37" ht="15" customHeight="1">
      <c r="A37" s="7" t="inlineStr"/>
      <c r="B37" s="8" t="inlineStr"/>
      <c r="C37" s="11" t="n">
        <v>8</v>
      </c>
      <c r="D37" s="9" t="inlineStr">
        <is>
          <t>https://www.engie.com.br/en/imprensa/press-releases/engie-brasil-energia-grows-14-6-in-revenue-and-invests-r-6-billion-in-2025/</t>
        </is>
      </c>
    </row>
    <row r="38" ht="15" customHeight="1">
      <c r="A38" s="7" t="inlineStr"/>
      <c r="B38" s="8" t="inlineStr"/>
      <c r="C38" s="11" t="n">
        <v>9</v>
      </c>
      <c r="D38" s="9" t="inlineStr">
        <is>
          <t>https://www.engie.com.br/en/imprensa/press-releases/assu-sol-photovoltaic-complex-engies-largest-solar-energy-asset-worldwide-now-operating-at-full-commercial-capacity/</t>
        </is>
      </c>
    </row>
    <row r="39" ht="15" customHeight="1">
      <c r="A39" s="7" t="inlineStr"/>
      <c r="B39" s="8" t="inlineStr"/>
      <c r="C39" s="11" t="n">
        <v>10</v>
      </c>
      <c r="D39" s="9" t="inlineStr">
        <is>
          <t>https://www.engie.com.br/en/imprensa/press-releases/engie-surpasses-1-gw-in-wind-power-in-brazil/</t>
        </is>
      </c>
    </row>
    <row r="40" ht="15" customHeight="1">
      <c r="A40" s="12" t="inlineStr">
        <is>
          <t>ENELGXCH CI</t>
        </is>
      </c>
      <c r="B40" s="13" t="inlineStr">
        <is>
          <t>Enel Generación Chile S.A.</t>
        </is>
      </c>
      <c r="C40" s="16" t="n">
        <v>1</v>
      </c>
      <c r="D40" s="14" t="inlineStr">
        <is>
          <t>https://www.enel.cl/en/meet-enel/enel-generation-chile.html</t>
        </is>
      </c>
    </row>
    <row r="41" ht="15" customHeight="1">
      <c r="A41" s="12" t="inlineStr"/>
      <c r="B41" s="13" t="inlineStr"/>
      <c r="C41" s="16" t="n">
        <v>2</v>
      </c>
      <c r="D41" s="14" t="inlineStr">
        <is>
          <t>https://www.enel.cl/content/dam/enel-cl/inversionistas/enel-generacion-chile/reportes/memorias/2024/Memoria-Anual-Integrada-Enel-Generacion-2024.pdf</t>
        </is>
      </c>
    </row>
    <row r="42" ht="15" customHeight="1">
      <c r="A42" s="12" t="inlineStr"/>
      <c r="B42" s="13" t="inlineStr"/>
      <c r="C42" s="16" t="n">
        <v>3</v>
      </c>
      <c r="D42" s="14" t="inlineStr">
        <is>
          <t>https://www.enel.cl/en/investors/investor-enel-generacion.html</t>
        </is>
      </c>
    </row>
    <row r="43" ht="15" customHeight="1">
      <c r="A43" s="12" t="inlineStr"/>
      <c r="B43" s="13" t="inlineStr"/>
      <c r="C43" s="16" t="n">
        <v>4</v>
      </c>
      <c r="D43" s="14" t="inlineStr">
        <is>
          <t>https://www.enel.cl/en/investors/investor-enel-generacion/reports/annual-reports.html</t>
        </is>
      </c>
    </row>
    <row r="44" ht="15" customHeight="1">
      <c r="A44" s="12" t="inlineStr"/>
      <c r="B44" s="13" t="inlineStr"/>
      <c r="C44" s="16" t="n">
        <v>5</v>
      </c>
      <c r="D44" s="14" t="inlineStr">
        <is>
          <t>https://www.cmfchile.cl/institucional/mercados/entidad.php?mercado=V&amp;rut=91081000&amp;grupo=&amp;tipoentidad=RVEMI&amp;row=&amp;vig=VI&amp;control=svs&amp;pestania=1</t>
        </is>
      </c>
    </row>
    <row r="45" ht="15" customHeight="1">
      <c r="A45" s="12" t="inlineStr"/>
      <c r="B45" s="13" t="inlineStr"/>
      <c r="C45" s="16" t="n">
        <v>6</v>
      </c>
      <c r="D45" s="14" t="inlineStr">
        <is>
          <t>https://www.cne.cl/en/prensa/prensa-2024/5-mayo-de-2024/licitacion-de-suministro-electrico-a-clientes-regulados-alcanzo-precio-de-56679us-mwh/</t>
        </is>
      </c>
    </row>
    <row r="46" ht="15" customHeight="1">
      <c r="A46" s="12" t="inlineStr"/>
      <c r="B46" s="13" t="inlineStr"/>
      <c r="C46" s="16" t="n">
        <v>7</v>
      </c>
      <c r="D46" s="14" t="inlineStr">
        <is>
          <t>https://www.licitacioneselectricas.cl/licitaciones-anteriores/licitacion-de-suministro-202301/</t>
        </is>
      </c>
    </row>
    <row r="47" ht="15" customHeight="1">
      <c r="A47" s="12" t="inlineStr"/>
      <c r="B47" s="13" t="inlineStr"/>
      <c r="C47" s="16" t="n">
        <v>8</v>
      </c>
      <c r="D47" s="14" t="inlineStr">
        <is>
          <t>https://renewablesnow.com/news/enel-sweeps-chiles-2023-power-tender-857377/</t>
        </is>
      </c>
    </row>
    <row r="48" ht="15" customHeight="1">
      <c r="A48" s="7" t="inlineStr">
        <is>
          <t>COLBUN CI</t>
        </is>
      </c>
      <c r="B48" s="8" t="inlineStr">
        <is>
          <t>Colbún S.A.</t>
        </is>
      </c>
      <c r="C48" s="11" t="n">
        <v>1</v>
      </c>
      <c r="D48" s="9" t="inlineStr">
        <is>
          <t>https://colbun.cl/docs/default-source/documentos-inversionistas/resultados-trimestrales/2025/1t25/earnings-report-1q25.pdf (Colbún 1Q25 Earnings Report - official, primary capacity source; HTTP 403 in this env, not re-fetchable)</t>
        </is>
      </c>
    </row>
    <row r="49" ht="15" customHeight="1">
      <c r="A49" s="7" t="inlineStr"/>
      <c r="B49" s="8" t="inlineStr"/>
      <c r="C49" s="11" t="n">
        <v>2</v>
      </c>
      <c r="D49" s="9" t="inlineStr">
        <is>
          <t>https://colbun.cl/docs/default-source/documentos-inversionistas/resultados-trimestrales/2025/4t25/earnings-report-4q25.pdf (Colbún 4Q25 Earnings Report - official, latest total; not re-fetchable)</t>
        </is>
      </c>
    </row>
    <row r="50" ht="15" customHeight="1">
      <c r="A50" s="7" t="inlineStr"/>
      <c r="B50" s="8" t="inlineStr"/>
      <c r="C50" s="11" t="n">
        <v>3</v>
      </c>
      <c r="D50" s="9" t="inlineStr">
        <is>
          <t>https://www.cmfchile.cl/institucional/mercados/entidad.php?mercado=V&amp;rut=96505760&amp;tipoentidad=RVEMI&amp;vig=VI&amp;control=svs&amp;pestania=1 (CMF Chile entity registration - official regulator; HTTP 403 in this env, not re-fetchable)</t>
        </is>
      </c>
    </row>
    <row r="51" ht="15" customHeight="1">
      <c r="A51" s="7" t="inlineStr"/>
      <c r="B51" s="8" t="inlineStr"/>
      <c r="C51" s="11" t="n">
        <v>4</v>
      </c>
      <c r="D51" s="9" t="inlineStr">
        <is>
          <t>https://www.colbun.cl/en/corporate/press-room/news-and-press-releases/detail/2025/04/29/colbun-reaches-agreement-to-achieve-100-ownership-of-peruvian-power-generator-fenix (Colbún press release - Fenix 100% ownership, official)</t>
        </is>
      </c>
    </row>
    <row r="52" ht="15" customHeight="1">
      <c r="A52" s="7" t="inlineStr"/>
      <c r="B52" s="8" t="inlineStr"/>
      <c r="C52" s="11" t="n">
        <v>5</v>
      </c>
      <c r="D52" s="9" t="inlineStr">
        <is>
          <t>https://www.colbun.cl/docs/default-source/sala-de-prensa/memoria/colbun_memoria2023_consolidado.pdf (Colbún Memoria Integrada 2023 - official)</t>
        </is>
      </c>
    </row>
    <row r="53" ht="15" customHeight="1">
      <c r="A53" s="7" t="inlineStr"/>
      <c r="B53" s="8" t="inlineStr"/>
      <c r="C53" s="11" t="n">
        <v>6</v>
      </c>
      <c r="D53" s="9" t="inlineStr">
        <is>
          <t>https://www.colbun.cl/en/corporate/investors/fenix-peru (Colbún Fenix Peru IR page - official)</t>
        </is>
      </c>
    </row>
    <row r="54" ht="15" customHeight="1">
      <c r="A54" s="7" t="inlineStr"/>
      <c r="B54" s="8" t="inlineStr"/>
      <c r="C54" s="11" t="n">
        <v>7</v>
      </c>
      <c r="D54" s="9" t="inlineStr">
        <is>
          <t>https://www.pv-tech.org/total-and-sunpower-win-ppa-for-164mw-chile-pv-project-from-colbun/ (third-party, PPA offtake)</t>
        </is>
      </c>
    </row>
    <row r="55" ht="15" customHeight="1">
      <c r="A55" s="7" t="inlineStr"/>
      <c r="B55" s="8" t="inlineStr"/>
      <c r="C55" s="11" t="n">
        <v>8</v>
      </c>
      <c r="D55" s="9" t="inlineStr">
        <is>
          <t>https://newenergyevents.com/colbun-brings-816-mw-horizonte-wind-farm-to-full-operation-chiles-largest-to-date/ (third-party, Horizonte 816 MW)</t>
        </is>
      </c>
    </row>
    <row r="56" ht="15" customHeight="1">
      <c r="A56" s="7" t="inlineStr"/>
      <c r="B56" s="8" t="inlineStr"/>
      <c r="C56" s="11" t="n">
        <v>9</v>
      </c>
      <c r="D56" s="9" t="inlineStr">
        <is>
          <t>https://www.power-technology.com/marketdata/fenix-power-combined-cycle-power-plant-peru/ (third-party, Fenix 573 MW detail)</t>
        </is>
      </c>
    </row>
    <row r="57" ht="15" customHeight="1">
      <c r="A57" s="12" t="inlineStr">
        <is>
          <t>AURE3 BZ</t>
        </is>
      </c>
      <c r="B57" s="13" t="inlineStr">
        <is>
          <t>Auren Energia S.A.</t>
        </is>
      </c>
      <c r="C57" s="16" t="n">
        <v>1</v>
      </c>
      <c r="D57" s="14" t="inlineStr">
        <is>
          <t>https://ri.aurenenergia.com.br/en/the-company/registration-data/</t>
        </is>
      </c>
    </row>
    <row r="58" ht="15" customHeight="1">
      <c r="A58" s="12" t="inlineStr"/>
      <c r="B58" s="13" t="inlineStr"/>
      <c r="C58" s="16" t="n">
        <v>2</v>
      </c>
      <c r="D58" s="14" t="inlineStr">
        <is>
          <t>https://api.mziq.com/mzfilemanager/v2/d/691c9da5-45e0-458f-a3da-41982b1730fc/997c8334-33a8-b100-0185-f104f94c16dd?origin=1</t>
        </is>
      </c>
    </row>
    <row r="59" ht="15" customHeight="1">
      <c r="A59" s="12" t="inlineStr"/>
      <c r="B59" s="13" t="inlineStr"/>
      <c r="C59" s="16" t="n">
        <v>3</v>
      </c>
      <c r="D59" s="14" t="inlineStr">
        <is>
          <t>https://www.rad.cvm.gov.br/ENETCONSULTA/frmDownloadDocumento.aspx?Tela=99&amp;numSequencia=1029653</t>
        </is>
      </c>
    </row>
    <row r="60" ht="15" customHeight="1">
      <c r="A60" s="12" t="inlineStr"/>
      <c r="B60" s="13" t="inlineStr"/>
      <c r="C60" s="16" t="n">
        <v>4</v>
      </c>
      <c r="D60" s="14" t="inlineStr">
        <is>
          <t>https://www.aurenenergia.com.br/geracao-de-energia/</t>
        </is>
      </c>
    </row>
    <row r="61" ht="15" customHeight="1">
      <c r="A61" s="12" t="inlineStr"/>
      <c r="B61" s="13" t="inlineStr"/>
      <c r="C61" s="16" t="n">
        <v>5</v>
      </c>
      <c r="D61" s="14" t="inlineStr">
        <is>
          <t>https://ri.aurenenergia.com.br/en/aes-brasil-and-auren-business-combination/</t>
        </is>
      </c>
    </row>
    <row r="62" ht="15" customHeight="1">
      <c r="A62" s="12" t="inlineStr"/>
      <c r="B62" s="13" t="inlineStr"/>
      <c r="C62" s="16" t="n">
        <v>6</v>
      </c>
      <c r="D62" s="14" t="inlineStr">
        <is>
          <t>https://www.datacenterdynamics.com/en/news/equinix-signs-self-generation-agreement-with-auren-energia/</t>
        </is>
      </c>
    </row>
    <row r="63" ht="15" customHeight="1">
      <c r="A63" s="12" t="inlineStr"/>
      <c r="B63" s="13" t="inlineStr"/>
      <c r="C63" s="16" t="n">
        <v>7</v>
      </c>
      <c r="D63" s="14" t="inlineStr">
        <is>
          <t>https://www.moneytimes.com.br/auren-energia-tem-lucro-no-4t25-ve-oportunidade-nos-leiloes-e-trading-rnda/</t>
        </is>
      </c>
    </row>
    <row r="64" ht="15" customHeight="1">
      <c r="A64" s="12" t="inlineStr"/>
      <c r="B64" s="13" t="inlineStr"/>
      <c r="C64" s="16" t="n">
        <v>8</v>
      </c>
      <c r="D64" s="14" t="inlineStr">
        <is>
          <t>https://www.canalenergia.com.br/noticias/53304384/auren-energia-fecha-4t24-com-lucro-liquido-societario-de-r-272-milhoes</t>
        </is>
      </c>
    </row>
    <row r="65" ht="15" customHeight="1">
      <c r="A65" s="7" t="inlineStr">
        <is>
          <t>PEHUEN CI</t>
        </is>
      </c>
      <c r="B65" s="8" t="inlineStr">
        <is>
          <t>Empresa Eléctrica Pehuenche S.A.</t>
        </is>
      </c>
      <c r="C65" s="11" t="n">
        <v>1</v>
      </c>
      <c r="D65" s="9" t="inlineStr">
        <is>
          <t>https://www.enel.cl/en/investors/investor-enel-generacion/subsidiaries/pehuenche-sa.html</t>
        </is>
      </c>
    </row>
    <row r="66" ht="15" customHeight="1">
      <c r="A66" s="7" t="inlineStr"/>
      <c r="B66" s="8" t="inlineStr"/>
      <c r="C66" s="11" t="n">
        <v>2</v>
      </c>
      <c r="D66" s="9" t="inlineStr">
        <is>
          <t>https://www.enel.cl/en/meet-enel/our-power-plants/pehuenche-hydroelectric-power-plant.html</t>
        </is>
      </c>
    </row>
    <row r="67" ht="15" customHeight="1">
      <c r="A67" s="7" t="inlineStr"/>
      <c r="B67" s="8" t="inlineStr"/>
      <c r="C67" s="11" t="n">
        <v>3</v>
      </c>
      <c r="D67" s="9" t="inlineStr">
        <is>
          <t>https://www.enel.cl/en/meet-enel/our-power-plants/curillinque-hydroelectric-power-plant.html</t>
        </is>
      </c>
    </row>
    <row r="68" ht="15" customHeight="1">
      <c r="A68" s="7" t="inlineStr"/>
      <c r="B68" s="8" t="inlineStr"/>
      <c r="C68" s="11" t="n">
        <v>4</v>
      </c>
      <c r="D68" s="9" t="inlineStr">
        <is>
          <t>https://www.enel.cl/en/meet-enel/our-power-plants/loma-alta-hydroelectric-power-plant.html</t>
        </is>
      </c>
    </row>
    <row r="69" ht="15" customHeight="1">
      <c r="A69" s="7" t="inlineStr"/>
      <c r="B69" s="8" t="inlineStr"/>
      <c r="C69" s="11" t="n">
        <v>5</v>
      </c>
      <c r="D69" s="9" t="inlineStr">
        <is>
          <t>https://www.cmfchile.cl/institucional/mercados/entidad.php?mercado=V&amp;rut=96504980&amp;grupo=&amp;tipoentidad=RVEMI&amp;vig=VI&amp;control=svs&amp;pestania=49</t>
        </is>
      </c>
    </row>
    <row r="70" ht="15" customHeight="1">
      <c r="A70" s="7" t="inlineStr"/>
      <c r="B70" s="8" t="inlineStr"/>
      <c r="C70" s="11" t="n">
        <v>6</v>
      </c>
      <c r="D70" s="9" t="inlineStr">
        <is>
          <t>https://www.enel.cl/content/dam/enel-cl/inversionistas/enel-generacion-chile/filiales/pehuenche-sa/gobierno-coporativo/estados-financieros/2022/EEFF-Pehuenche-202212.pdf</t>
        </is>
      </c>
    </row>
    <row r="71" ht="15" customHeight="1">
      <c r="A71" s="7" t="inlineStr"/>
      <c r="B71" s="8" t="inlineStr"/>
      <c r="C71" s="11" t="n">
        <v>7</v>
      </c>
      <c r="D71" s="9" t="inlineStr">
        <is>
          <t>https://www.enel.cl/content/dam/enel-cl/inversionistas/enel-generacion-chile/filiales/pehuenche-sa/gobierno-coporativo/estados-financieros/2019/EEFF-Pehuenche-2019.pdf</t>
        </is>
      </c>
    </row>
    <row r="72" ht="15" customHeight="1">
      <c r="A72" s="7" t="inlineStr"/>
      <c r="B72" s="8" t="inlineStr"/>
      <c r="C72" s="11" t="n">
        <v>8</v>
      </c>
      <c r="D72" s="9" t="inlineStr">
        <is>
          <t>https://www.bnamericas.com/en/company-profile/empresa-electrica-pehuenche-sa</t>
        </is>
      </c>
    </row>
    <row r="73" ht="15" customHeight="1">
      <c r="A73" s="7" t="inlineStr"/>
      <c r="B73" s="8" t="inlineStr"/>
      <c r="C73" s="11" t="n">
        <v>9</v>
      </c>
      <c r="D73" s="9" t="inlineStr">
        <is>
          <t>https://es.wikipedia.org/wiki/Central_hidroel%C3%A9ctrica_Pehuenche</t>
        </is>
      </c>
    </row>
    <row r="74" ht="15" customHeight="1">
      <c r="A74" s="12" t="inlineStr">
        <is>
          <t>CELSIA CB</t>
        </is>
      </c>
      <c r="B74" s="13" t="inlineStr">
        <is>
          <t>Celsia S.A. E.S.P.</t>
        </is>
      </c>
      <c r="C74" s="16" t="n">
        <v>1</v>
      </c>
      <c r="D74" s="14" t="inlineStr">
        <is>
          <t>https://www.celsia.com/es/quienes-somos/que-hacemos/</t>
        </is>
      </c>
    </row>
    <row r="75" ht="15" customHeight="1">
      <c r="A75" s="12" t="inlineStr"/>
      <c r="B75" s="13" t="inlineStr"/>
      <c r="C75" s="16" t="n">
        <v>2</v>
      </c>
      <c r="D75" s="14" t="inlineStr">
        <is>
          <t>https://www.celsia.com/es/centrales-hidroelectricas/</t>
        </is>
      </c>
    </row>
    <row r="76" ht="15" customHeight="1">
      <c r="A76" s="12" t="inlineStr"/>
      <c r="B76" s="13" t="inlineStr"/>
      <c r="C76" s="16" t="n">
        <v>3</v>
      </c>
      <c r="D76" s="14" t="inlineStr">
        <is>
          <t>https://www.celsia.com/en/inversionistas/celsia-colombia/estructura-societaria/</t>
        </is>
      </c>
    </row>
    <row r="77" ht="15" customHeight="1">
      <c r="A77" s="12" t="inlineStr"/>
      <c r="B77" s="13" t="inlineStr"/>
      <c r="C77" s="16" t="n">
        <v>4</v>
      </c>
      <c r="D77" s="14" t="inlineStr">
        <is>
          <t>https://files.grupoargos.com/uploads-grupo-argos/2025/03/grupo-argos-reporte-integrado-celsia-2024.pdf</t>
        </is>
      </c>
    </row>
    <row r="78" ht="15" customHeight="1">
      <c r="A78" s="12" t="inlineStr"/>
      <c r="B78" s="13" t="inlineStr"/>
      <c r="C78" s="16" t="n">
        <v>5</v>
      </c>
      <c r="D78" s="14" t="inlineStr">
        <is>
          <t>https://reporteintegrado2022.celsia.com/en/businesses-that-challenge-us/generation/</t>
        </is>
      </c>
    </row>
    <row r="79" ht="15" customHeight="1">
      <c r="A79" s="12" t="inlineStr"/>
      <c r="B79" s="13" t="inlineStr"/>
      <c r="C79" s="16" t="n">
        <v>6</v>
      </c>
      <c r="D79" s="14" t="inlineStr">
        <is>
          <t>https://reporteintegrado2023.celsia.com/en/our-businesses/sales/</t>
        </is>
      </c>
    </row>
    <row r="80" ht="15" customHeight="1">
      <c r="A80" s="12" t="inlineStr"/>
      <c r="B80" s="13" t="inlineStr"/>
      <c r="C80" s="16" t="n">
        <v>7</v>
      </c>
      <c r="D80" s="14" t="inlineStr">
        <is>
          <t>https://www.celsia.com/en/noticias/nuevos-proyectos-eolicos-de-celsia-aportaran-el-18-de-la-electricidad-adjudicada-en-la-subasta-de-energias-renovables/</t>
        </is>
      </c>
    </row>
    <row r="81" ht="15" customHeight="1">
      <c r="A81" s="12" t="inlineStr"/>
      <c r="B81" s="13" t="inlineStr"/>
      <c r="C81" s="16" t="n">
        <v>8</v>
      </c>
      <c r="D81" s="14" t="inlineStr">
        <is>
          <t>https://www.celsia.com/es/soluciones-en-eficiencia-energetica-para-empresas-y-constructoras/energia-solar-para-empresas/</t>
        </is>
      </c>
    </row>
    <row r="82" ht="15" customHeight="1">
      <c r="A82" s="12" t="inlineStr"/>
      <c r="B82" s="13" t="inlineStr"/>
      <c r="C82" s="16" t="n">
        <v>9</v>
      </c>
      <c r="D82" s="14" t="inlineStr">
        <is>
          <t>https://www.xm.com.co/transacciones/asignacion-subasta/descripcion-subastas-0</t>
        </is>
      </c>
    </row>
    <row r="83" ht="15" customHeight="1">
      <c r="A83" s="12" t="inlineStr"/>
      <c r="B83" s="13" t="inlineStr"/>
      <c r="C83" s="16" t="n">
        <v>10</v>
      </c>
      <c r="D83" s="14" t="inlineStr">
        <is>
          <t>https://es.wikipedia.org/wiki/Celsia</t>
        </is>
      </c>
    </row>
    <row r="84" ht="15" customHeight="1">
      <c r="A84" s="12" t="inlineStr"/>
      <c r="B84" s="13" t="inlineStr"/>
      <c r="C84" s="16" t="n">
        <v>11</v>
      </c>
      <c r="D84" s="14" t="inlineStr">
        <is>
          <t>https://www.larepublica.co/especiales/lr-express-congreso-andi/este-ano-celsia-alcanzara-los-350-mw-de-capacidad-de-generacion-solar-3946057</t>
        </is>
      </c>
    </row>
    <row r="85" ht="15" customHeight="1">
      <c r="A85" s="12" t="inlineStr"/>
      <c r="B85" s="13" t="inlineStr"/>
      <c r="C85" s="16" t="n">
        <v>12</v>
      </c>
      <c r="D85" s="14" t="inlineStr">
        <is>
          <t>https://www.latincounsel.com/?Noticias=Skadden_and_BLP_represent_Celsiain_the_sale_of_renewable_assets_in_Panama_and_Costa_Rica</t>
        </is>
      </c>
    </row>
    <row r="86" ht="15" customHeight="1">
      <c r="A86" s="12" t="inlineStr"/>
      <c r="B86" s="13" t="inlineStr"/>
      <c r="C86" s="16" t="n">
        <v>13</v>
      </c>
      <c r="D86" s="14" t="inlineStr">
        <is>
          <t>https://www.elcolombiano.com/negocios/celsia-vende-zona-franca-en-barranquilla-AF11632543</t>
        </is>
      </c>
    </row>
    <row r="87" ht="15" customHeight="1">
      <c r="A87" s="7" t="inlineStr">
        <is>
          <t>ENMT4 BZ</t>
        </is>
      </c>
      <c r="B87" s="8" t="inlineStr">
        <is>
          <t>Energisa Mato Grosso - Distribuidora de Ener</t>
        </is>
      </c>
      <c r="C87" s="11" t="n">
        <v>1</v>
      </c>
      <c r="D87" s="9" t="inlineStr">
        <is>
          <t>https://ri.energisa.com.br/en/</t>
        </is>
      </c>
    </row>
    <row r="88" ht="15" customHeight="1">
      <c r="A88" s="7" t="inlineStr"/>
      <c r="B88" s="8" t="inlineStr"/>
      <c r="C88" s="11" t="n">
        <v>2</v>
      </c>
      <c r="D88" s="9" t="inlineStr">
        <is>
          <t>https://ri.energisa.com.br/en/setor-eletrico-brasileiro/</t>
        </is>
      </c>
    </row>
    <row r="89" ht="15" customHeight="1">
      <c r="A89" s="7" t="inlineStr"/>
      <c r="B89" s="8" t="inlineStr"/>
      <c r="C89" s="11" t="n">
        <v>3</v>
      </c>
      <c r="D89" s="9" t="inlineStr">
        <is>
          <t>https://www.energisa.com.br/regioes/mato-grosso</t>
        </is>
      </c>
    </row>
    <row r="90" ht="15" customHeight="1">
      <c r="A90" s="7" t="inlineStr"/>
      <c r="B90" s="8" t="inlineStr"/>
      <c r="C90" s="11" t="n">
        <v>4</v>
      </c>
      <c r="D90" s="9" t="inlineStr">
        <is>
          <t>https://www.econodata.com.br/consulta-empresa/03467321005824-energisa-mato-grosso-distribuidora-de-energia-sa</t>
        </is>
      </c>
    </row>
    <row r="91" ht="15" customHeight="1">
      <c r="A91" s="7" t="inlineStr"/>
      <c r="B91" s="8" t="inlineStr"/>
      <c r="C91" s="11" t="n">
        <v>5</v>
      </c>
      <c r="D91" s="9" t="inlineStr">
        <is>
          <t>https://pt.wikipedia.org/wiki/Energisa_Mato_Grosso</t>
        </is>
      </c>
    </row>
    <row r="92" ht="15" customHeight="1">
      <c r="A92" s="7" t="inlineStr"/>
      <c r="B92" s="8" t="inlineStr"/>
      <c r="C92" s="11" t="n">
        <v>6</v>
      </c>
      <c r="D92" s="9" t="inlineStr">
        <is>
          <t>https://pt.wikipedia.org/wiki/Centrais_El%C3%A9tricas_Matogrossenses</t>
        </is>
      </c>
    </row>
    <row r="93" ht="15" customHeight="1">
      <c r="A93" s="7" t="inlineStr"/>
      <c r="B93" s="8" t="inlineStr"/>
      <c r="C93" s="11" t="n">
        <v>7</v>
      </c>
      <c r="D93" s="9" t="inlineStr">
        <is>
          <t>https://www.rad.cvm.gov.br/ENET/frmGerenciaPaginaFRE.aspx</t>
        </is>
      </c>
    </row>
    <row r="94" ht="15" customHeight="1">
      <c r="A94" s="7" t="inlineStr"/>
      <c r="B94" s="8" t="inlineStr"/>
      <c r="C94" s="11" t="n">
        <v>8</v>
      </c>
      <c r="D94" s="9" t="inlineStr">
        <is>
          <t>https://www.investing.com/equities/energisa-mato-grosso</t>
        </is>
      </c>
    </row>
    <row r="95" ht="15" customHeight="1">
      <c r="A95" s="12" t="inlineStr">
        <is>
          <t>EQMA3B BZ</t>
        </is>
      </c>
      <c r="B95" s="13" t="inlineStr">
        <is>
          <t>Equatorial Maranhão Distribuidora de Energia</t>
        </is>
      </c>
      <c r="C95" s="16" t="n">
        <v>1</v>
      </c>
      <c r="D95" s="14" t="inlineStr">
        <is>
          <t>https://ri.equatorialenergia.com.br/ (official group IR - attempted, HTTP 403 org egress policy, NOT read this session)</t>
        </is>
      </c>
    </row>
    <row r="96" ht="15" customHeight="1">
      <c r="A96" s="12" t="inlineStr"/>
      <c r="B96" s="13" t="inlineStr"/>
      <c r="C96" s="16" t="n">
        <v>2</v>
      </c>
      <c r="D96" s="14" t="inlineStr">
        <is>
          <t>https://ma.equatorialenergia.com.br/ (official operating utility site - not reachable this session)</t>
        </is>
      </c>
    </row>
    <row r="97" ht="15" customHeight="1">
      <c r="A97" s="12" t="inlineStr"/>
      <c r="B97" s="13" t="inlineStr"/>
      <c r="C97" s="16" t="n">
        <v>3</v>
      </c>
      <c r="D97" s="14" t="inlineStr">
        <is>
          <t>https://www.aneel.gov.br/ (ANEEL - authoritative source for regulated auction / CCEAR results; not reachable this session)</t>
        </is>
      </c>
    </row>
    <row r="98" ht="15" customHeight="1">
      <c r="A98" s="12" t="inlineStr"/>
      <c r="B98" s="13" t="inlineStr"/>
      <c r="C98" s="16" t="n">
        <v>4</v>
      </c>
      <c r="D98" s="14" t="inlineStr">
        <is>
          <t>https://www.ccee.org.br/ (CCEE - authoritative for contracted energy volumes; not reachable this session)</t>
        </is>
      </c>
    </row>
    <row r="99" ht="15" customHeight="1">
      <c r="A99" s="12" t="inlineStr"/>
      <c r="B99" s="13" t="inlineStr"/>
      <c r="C99" s="16" t="n">
        <v>5</v>
      </c>
      <c r="D99" s="14" t="inlineStr">
        <is>
          <t>https://www.b3.com.br/ (B3 listing - attempted, HTTP 403 this session)</t>
        </is>
      </c>
    </row>
    <row r="100" ht="15" customHeight="1">
      <c r="A100" s="12" t="inlineStr"/>
      <c r="B100" s="13" t="inlineStr"/>
      <c r="C100" s="16" t="n">
        <v>6</v>
      </c>
      <c r="D100" s="14" t="inlineStr">
        <is>
          <t>https://pt.wikipedia.org/wiki/Equatorial_Energia_Maranh%C3%A3o (third-party - attempted, HTTP 403 this session)</t>
        </is>
      </c>
    </row>
    <row r="101" ht="15" customHeight="1">
      <c r="A101" s="12" t="inlineStr"/>
      <c r="B101" s="13" t="inlineStr"/>
      <c r="C101" s="16" t="n">
        <v>7</v>
      </c>
      <c r="D101" s="14" t="inlineStr">
        <is>
          <t>https://www.econodata.com.br/consulta-empresa/06272793000184-equatorial-maranhao-distribuidora-de-energia-sa (third-party registry - attempted, HTTP 403 this session)</t>
        </is>
      </c>
    </row>
    <row r="102" ht="15" customHeight="1">
      <c r="A102" s="12" t="inlineStr"/>
      <c r="B102" s="13" t="inlineStr"/>
      <c r="C102" s="16" t="n">
        <v>8</v>
      </c>
      <c r="D102" s="14" t="inlineStr">
        <is>
          <t>https://cnpja.com/office/06272793000184 (third-party registry, from prior draft)</t>
        </is>
      </c>
    </row>
    <row r="103" ht="15" customHeight="1">
      <c r="A103" s="7" t="inlineStr">
        <is>
          <t>GEPA4 BZ</t>
        </is>
      </c>
      <c r="B103" s="8" t="inlineStr">
        <is>
          <t>Rio Paranapanema Energia S.A.</t>
        </is>
      </c>
      <c r="C103" s="11" t="n">
        <v>1</v>
      </c>
      <c r="D103" s="9" t="inlineStr">
        <is>
          <t>https://www.ctgbr.com.br/en/operations/hydropower/</t>
        </is>
      </c>
    </row>
    <row r="104" ht="15" customHeight="1">
      <c r="A104" s="7" t="inlineStr"/>
      <c r="B104" s="8" t="inlineStr"/>
      <c r="C104" s="11" t="n">
        <v>2</v>
      </c>
      <c r="D104" s="9" t="inlineStr">
        <is>
          <t>https://ri.ctgbr.com.br/en/rio-paranapanema-energia/</t>
        </is>
      </c>
    </row>
    <row r="105" ht="15" customHeight="1">
      <c r="A105" s="7" t="inlineStr"/>
      <c r="B105" s="8" t="inlineStr"/>
      <c r="C105" s="11" t="n">
        <v>3</v>
      </c>
      <c r="D105" s="9" t="inlineStr">
        <is>
          <t>https://ri.ctgbr.com.br/en/publications-and-documents/reference-form-rio-paranapanema-energia/</t>
        </is>
      </c>
    </row>
    <row r="106" ht="15" customHeight="1">
      <c r="A106" s="7" t="inlineStr"/>
      <c r="B106" s="8" t="inlineStr"/>
      <c r="C106" s="11" t="n">
        <v>4</v>
      </c>
      <c r="D106" s="9" t="inlineStr">
        <is>
          <t>https://ri.ctgbr.com.br/en/financial-information/results-center-rio-paranapanema-energia/</t>
        </is>
      </c>
    </row>
    <row r="107" ht="15" customHeight="1">
      <c r="A107" s="7" t="inlineStr"/>
      <c r="B107" s="8" t="inlineStr"/>
      <c r="C107" s="11" t="n">
        <v>5</v>
      </c>
      <c r="D107" s="9" t="inlineStr">
        <is>
          <t>https://api.mziq.com/mzfilemanager/v2/d/5b6d81c0-07fe-4bdb-8bb9-14699e84f3c9/b38c84bf-39f0-233f-4638-85f9988dbe9a?origin=1</t>
        </is>
      </c>
    </row>
    <row r="108" ht="15" customHeight="1">
      <c r="A108" s="7" t="inlineStr"/>
      <c r="B108" s="8" t="inlineStr"/>
      <c r="C108" s="11" t="n">
        <v>6</v>
      </c>
      <c r="D108" s="9" t="inlineStr">
        <is>
          <t>https://www.ctgbr.com.br/en/unidade/palmeiras-shpp/</t>
        </is>
      </c>
    </row>
    <row r="109" ht="15" customHeight="1">
      <c r="A109" s="7" t="inlineStr"/>
      <c r="B109" s="8" t="inlineStr"/>
      <c r="C109" s="11" t="n">
        <v>7</v>
      </c>
      <c r="D109" s="9" t="inlineStr">
        <is>
          <t>https://www.ctgbr.com.br/en/unidade/taquarucu-hpp/</t>
        </is>
      </c>
    </row>
    <row r="110" ht="15" customHeight="1">
      <c r="A110" s="7" t="inlineStr"/>
      <c r="B110" s="8" t="inlineStr"/>
      <c r="C110" s="11" t="n">
        <v>8</v>
      </c>
      <c r="D110" s="9" t="inlineStr">
        <is>
          <t>https://www.ctgbr.com.br/en/unidade/chavantes-hpp/</t>
        </is>
      </c>
    </row>
    <row r="111" ht="15" customHeight="1">
      <c r="A111" s="7" t="inlineStr"/>
      <c r="B111" s="8" t="inlineStr"/>
      <c r="C111" s="11" t="n">
        <v>9</v>
      </c>
      <c r="D111" s="9" t="inlineStr">
        <is>
          <t>https://www.ctgbr.com.br/en/unidade/salto-grande-hpp/</t>
        </is>
      </c>
    </row>
    <row r="112" ht="15" customHeight="1">
      <c r="A112" s="7" t="inlineStr"/>
      <c r="B112" s="8" t="inlineStr"/>
      <c r="C112" s="11" t="n">
        <v>10</v>
      </c>
      <c r="D112" s="9" t="inlineStr">
        <is>
          <t>https://www.econodata.com.br/consulta-empresa/02998301000181-rio-paranapanema-energia-sa</t>
        </is>
      </c>
    </row>
    <row r="113" ht="15" customHeight="1">
      <c r="A113" s="7" t="inlineStr"/>
      <c r="B113" s="8" t="inlineStr"/>
      <c r="C113" s="11" t="n">
        <v>11</v>
      </c>
      <c r="D113" s="9" t="inlineStr">
        <is>
          <t>https://pt.wikipedia.org/wiki/Usina_Hidrel%C3%A9trica_de_Taquaru%C3%A7u</t>
        </is>
      </c>
    </row>
    <row r="114" ht="15" customHeight="1">
      <c r="A114" s="7" t="inlineStr"/>
      <c r="B114" s="8" t="inlineStr"/>
      <c r="C114" s="11" t="n">
        <v>12</v>
      </c>
      <c r="D114" s="9" t="inlineStr">
        <is>
          <t>https://en.wikipedia.org/wiki/Capivara_Dam</t>
        </is>
      </c>
    </row>
    <row r="115" ht="15" customHeight="1">
      <c r="A115" s="7" t="inlineStr"/>
      <c r="B115" s="8" t="inlineStr"/>
      <c r="C115" s="11" t="n">
        <v>13</v>
      </c>
      <c r="D115" s="9" t="inlineStr">
        <is>
          <t>https://sistemaswebb3-listados.b3.com.br/listedCompaniesPage/main/18368/GEPA/overview?language=pt-br</t>
        </is>
      </c>
    </row>
    <row r="116" ht="15" customHeight="1">
      <c r="A116" s="12" t="inlineStr">
        <is>
          <t>CEBR5 BZ</t>
        </is>
      </c>
      <c r="B116" s="13" t="inlineStr">
        <is>
          <t>Companhia Energética de Brasília</t>
        </is>
      </c>
      <c r="C116" s="16" t="n">
        <v>1</v>
      </c>
      <c r="D116" s="14" t="inlineStr">
        <is>
          <t>https://ri.ceb.com.br/conheca-a-ceb/portfolio-de-negocios/ (CEB IR – Portfólio de Negócios; official — BLOCKED HTTP 403 at egress proxy this pass, not re-fetched)</t>
        </is>
      </c>
    </row>
    <row r="117" ht="15" customHeight="1">
      <c r="A117" s="12" t="inlineStr"/>
      <c r="B117" s="13" t="inlineStr"/>
      <c r="C117" s="16" t="n">
        <v>2</v>
      </c>
      <c r="D117" s="14" t="inlineStr">
        <is>
          <t>https://www.correiobraziliense.com.br/static/pdf-publicidade-legal/CEB_Balan%C3%A7o_Anual_2025_Abr26_Corre%C3%A7%C3%A3o_D41D8CD98.pdf (CEB Balanço Anual 2025 – official financial statement — not re-fetched, 403)</t>
        </is>
      </c>
    </row>
    <row r="118" ht="15" customHeight="1">
      <c r="A118" s="12" t="inlineStr"/>
      <c r="B118" s="13" t="inlineStr"/>
      <c r="C118" s="16" t="n">
        <v>3</v>
      </c>
      <c r="D118" s="14" t="inlineStr">
        <is>
          <t>https://noticias.stf.jus.br/postsnoticias/stf-integra-consorcio-para-a-geracao-compartilhada-de-energia/ (STF official – 3 MW solar consortium, Feb 2025 — not re-fetched, 403)</t>
        </is>
      </c>
    </row>
    <row r="119" ht="15" customHeight="1">
      <c r="A119" s="12" t="inlineStr"/>
      <c r="B119" s="13" t="inlineStr"/>
      <c r="C119" s="16" t="n">
        <v>4</v>
      </c>
      <c r="D119" s="14" t="inlineStr">
        <is>
          <t>https://www.investco.com.br/en/power-plant (Investco/EDP Lajeado official – 902.5 MW UHE Luís Eduardo Magalhães — not re-fetched, 403)</t>
        </is>
      </c>
    </row>
    <row r="120" ht="15" customHeight="1">
      <c r="A120" s="12" t="inlineStr"/>
      <c r="B120" s="13" t="inlineStr"/>
      <c r="C120" s="16" t="n">
        <v>5</v>
      </c>
      <c r="D120" s="14" t="inlineStr">
        <is>
          <t>https://www.neoenergia.com/en/energia-hidrica/corumba (Neoenergia official – Corumbá III capacity/stake — not re-fetched, 403)</t>
        </is>
      </c>
    </row>
    <row r="121" ht="15" customHeight="1">
      <c r="A121" s="12" t="inlineStr"/>
      <c r="B121" s="13" t="inlineStr"/>
      <c r="C121" s="16" t="n">
        <v>6</v>
      </c>
      <c r="D121" s="14" t="inlineStr">
        <is>
          <t>https://pt.wikipedia.org/wiki/Companhia_Energ%C3%A9tica_de_Bras%C3%ADlia (Portuguese Wikipedia – third party — not re-fetched, 403)</t>
        </is>
      </c>
    </row>
    <row r="122" ht="15" customHeight="1">
      <c r="A122" s="12" t="inlineStr"/>
      <c r="B122" s="13" t="inlineStr"/>
      <c r="C122" s="16" t="n">
        <v>7</v>
      </c>
      <c r="D122" s="14" t="inlineStr">
        <is>
          <t>https://www.econodata.com.br/consulta-empresa/00070698000111-COMPANHIA-ENERGETICA-DE-BRASILIA (registry – CNPJ, Brasília/DF address — not re-fetched, 403)</t>
        </is>
      </c>
    </row>
    <row r="123" ht="15" customHeight="1">
      <c r="A123" s="7" t="inlineStr">
        <is>
          <t>PUNTILLA CI</t>
        </is>
      </c>
      <c r="B123" s="8" t="inlineStr">
        <is>
          <t>Eléctrica Puntilla S.A.</t>
        </is>
      </c>
      <c r="C123" s="11" t="n">
        <v>1</v>
      </c>
      <c r="D123" s="9" t="inlineStr">
        <is>
          <t>https://www.electricapuntilla.cl/centrales/</t>
        </is>
      </c>
    </row>
    <row r="124" ht="15" customHeight="1">
      <c r="A124" s="7" t="inlineStr"/>
      <c r="B124" s="8" t="inlineStr"/>
      <c r="C124" s="11" t="n">
        <v>2</v>
      </c>
      <c r="D124" s="9" t="inlineStr">
        <is>
          <t>https://www.electricapuntilla.cl/historia/</t>
        </is>
      </c>
    </row>
    <row r="125" ht="15" customHeight="1">
      <c r="A125" s="7" t="inlineStr"/>
      <c r="B125" s="8" t="inlineStr"/>
      <c r="C125" s="11" t="n">
        <v>3</v>
      </c>
      <c r="D125" s="9" t="inlineStr">
        <is>
          <t>https://www.electricapuntilla.cl/electrica-puntilla-firma-contrato-para-operar-las-centrales-de-scm/</t>
        </is>
      </c>
    </row>
    <row r="126" ht="15" customHeight="1">
      <c r="A126" s="7" t="inlineStr"/>
      <c r="B126" s="8" t="inlineStr"/>
      <c r="C126" s="11" t="n">
        <v>4</v>
      </c>
      <c r="D126" s="9" t="inlineStr">
        <is>
          <t>https://www.cmfchile.cl/institucional/mercados/entidad.php?mercado=V&amp;rut=96817230&amp;tipoentidad=RVEMI&amp;vig=VI&amp;control=svs&amp;pestania=1</t>
        </is>
      </c>
    </row>
    <row r="127" ht="15" customHeight="1">
      <c r="A127" s="7" t="inlineStr"/>
      <c r="B127" s="8" t="inlineStr"/>
      <c r="C127" s="11" t="n">
        <v>5</v>
      </c>
      <c r="D127" s="9" t="inlineStr">
        <is>
          <t>https://www.electricapuntilla.cl/wp-content/uploads/2021/09/estados_financieros_PDF96817230_201909.pdf</t>
        </is>
      </c>
    </row>
    <row r="128" ht="15" customHeight="1">
      <c r="A128" s="7" t="inlineStr"/>
      <c r="B128" s="8" t="inlineStr"/>
      <c r="C128" s="11" t="n">
        <v>6</v>
      </c>
      <c r="D128" s="9" t="inlineStr">
        <is>
          <t>https://es.wikipedia.org/wiki/Central_hidroel%C3%A9ctrica_Puntilla</t>
        </is>
      </c>
    </row>
    <row r="129" ht="15" customHeight="1">
      <c r="A129" s="7" t="inlineStr"/>
      <c r="B129" s="8" t="inlineStr"/>
      <c r="C129" s="11" t="n">
        <v>7</v>
      </c>
      <c r="D129" s="9" t="inlineStr">
        <is>
          <t>https://www.diarioestrategia.cl/texto-diario/mostrar/2069746/electrica-puntilla-consigna-nueva-fecha-puesta-marcga-central-nuble-pasada</t>
        </is>
      </c>
    </row>
    <row r="130" ht="15" customHeight="1">
      <c r="A130" s="7" t="inlineStr"/>
      <c r="B130" s="8" t="inlineStr"/>
      <c r="C130" s="11" t="n">
        <v>8</v>
      </c>
      <c r="D130" s="9" t="inlineStr">
        <is>
          <t>https://www.df.cl/empresas/energia/electrica-puntilla-ve-inversiones-por-mas-de-us-1-000-millones-en</t>
        </is>
      </c>
    </row>
    <row r="131" ht="15" customHeight="1">
      <c r="A131" s="7" t="inlineStr"/>
      <c r="B131" s="8" t="inlineStr"/>
      <c r="C131" s="11" t="n">
        <v>9</v>
      </c>
      <c r="D131" s="9" t="inlineStr">
        <is>
          <t>https://www.emis.com/php/company-profile/CL/Electrica_Puntilla_SA_es_3336147.html</t>
        </is>
      </c>
    </row>
    <row r="132" ht="15" customHeight="1">
      <c r="A132" s="7" t="inlineStr"/>
      <c r="B132" s="8" t="inlineStr"/>
      <c r="C132" s="11" t="n">
        <v>10</v>
      </c>
      <c r="D132" s="9" t="inlineStr">
        <is>
          <t>https://www.mercantil.com/empresa/electrica-puntilla-s-a/providencia/300315608/esp/</t>
        </is>
      </c>
    </row>
    <row r="133" ht="15" customHeight="1">
      <c r="A133" s="12" t="inlineStr">
        <is>
          <t>WIG JA</t>
        </is>
      </c>
      <c r="B133" s="13" t="inlineStr">
        <is>
          <t>Wigton Energy Limited</t>
        </is>
      </c>
      <c r="C133" s="16" t="n">
        <v>1</v>
      </c>
      <c r="D133" s="14" t="inlineStr">
        <is>
          <t>https://jis.gov.jm/government/agencies/wigton-wind-farm-limited/</t>
        </is>
      </c>
    </row>
    <row r="134" ht="15" customHeight="1">
      <c r="A134" s="12" t="inlineStr"/>
      <c r="B134" s="13" t="inlineStr"/>
      <c r="C134" s="16" t="n">
        <v>2</v>
      </c>
      <c r="D134" s="14" t="inlineStr">
        <is>
          <t>https://wigtonenergy.com/</t>
        </is>
      </c>
    </row>
    <row r="135" ht="15" customHeight="1">
      <c r="A135" s="12" t="inlineStr"/>
      <c r="B135" s="13" t="inlineStr"/>
      <c r="C135" s="16" t="n">
        <v>3</v>
      </c>
      <c r="D135" s="14" t="inlineStr">
        <is>
          <t>https://wigtonenergy.com/operations/</t>
        </is>
      </c>
    </row>
    <row r="136" ht="15" customHeight="1">
      <c r="A136" s="12" t="inlineStr"/>
      <c r="B136" s="13" t="inlineStr"/>
      <c r="C136" s="16" t="n">
        <v>4</v>
      </c>
      <c r="D136" s="14" t="inlineStr">
        <is>
          <t>https://wigtonenergy.com/about/</t>
        </is>
      </c>
    </row>
    <row r="137" ht="15" customHeight="1">
      <c r="A137" s="12" t="inlineStr"/>
      <c r="B137" s="13" t="inlineStr"/>
      <c r="C137" s="16" t="n">
        <v>5</v>
      </c>
      <c r="D137" s="14" t="inlineStr">
        <is>
          <t>https://wigtonenergy.com/investor-relations/</t>
        </is>
      </c>
    </row>
    <row r="138" ht="15" customHeight="1">
      <c r="A138" s="12" t="inlineStr"/>
      <c r="B138" s="13" t="inlineStr"/>
      <c r="C138" s="16" t="n">
        <v>6</v>
      </c>
      <c r="D138" s="14" t="inlineStr">
        <is>
          <t>https://wigtonenergy.com/news/wigton-energy-to-build-out-70mw-of-solar-over-the-next-two-years/</t>
        </is>
      </c>
    </row>
    <row r="139" ht="15" customHeight="1">
      <c r="A139" s="12" t="inlineStr"/>
      <c r="B139" s="13" t="inlineStr"/>
      <c r="C139" s="16" t="n">
        <v>7</v>
      </c>
      <c r="D139" s="14" t="inlineStr">
        <is>
          <t>https://wigtonenergy.com/wp-content/uploads/2025/09/Press-Release-Wigton-Phase-I-Repowering-November-25-2024.pdf</t>
        </is>
      </c>
    </row>
    <row r="140" ht="15" customHeight="1">
      <c r="A140" s="12" t="inlineStr"/>
      <c r="B140" s="13" t="inlineStr"/>
      <c r="C140" s="16" t="n">
        <v>8</v>
      </c>
      <c r="D140" s="14" t="inlineStr">
        <is>
          <t>https://www.jamstockex.com/wigton-energy-limited-wig-disclosure-2/</t>
        </is>
      </c>
    </row>
    <row r="141" ht="15" customHeight="1">
      <c r="A141" s="12" t="inlineStr"/>
      <c r="B141" s="13" t="inlineStr"/>
      <c r="C141" s="16" t="n">
        <v>9</v>
      </c>
      <c r="D141" s="14" t="inlineStr">
        <is>
          <t>https://ncbcapitalmarkets.com/research/latestnews/5585-wigton-extends-power-purchase-agreement-with-jps-by-3-years</t>
        </is>
      </c>
    </row>
    <row r="142" ht="15" customHeight="1">
      <c r="A142" s="12" t="inlineStr"/>
      <c r="B142" s="13" t="inlineStr"/>
      <c r="C142" s="16" t="n">
        <v>10</v>
      </c>
      <c r="D142" s="14" t="inlineStr">
        <is>
          <t>https://www.power-technology.com/data-insights/power-plant-profile-wigton-jamaica/</t>
        </is>
      </c>
    </row>
    <row r="143" ht="15" customHeight="1">
      <c r="A143" s="12" t="inlineStr"/>
      <c r="B143" s="13" t="inlineStr"/>
      <c r="C143" s="16" t="n">
        <v>11</v>
      </c>
      <c r="D143" s="14" t="inlineStr">
        <is>
          <t>https://jamaica-gleaner.com/article/business/20251010/wigton-be-twice-big-after-multibillion-solar-buildout</t>
        </is>
      </c>
    </row>
    <row r="144" ht="15" customHeight="1">
      <c r="A144" s="12" t="inlineStr"/>
      <c r="B144" s="13" t="inlineStr"/>
      <c r="C144" s="16" t="n">
        <v>12</v>
      </c>
      <c r="D144" s="14" t="inlineStr">
        <is>
          <t>https://www.jamaicaobserver.com/2026/02/22/wigton-stockpiles-cash-solar-expansion/</t>
        </is>
      </c>
    </row>
    <row r="145" ht="15" customHeight="1">
      <c r="A145" s="12" t="inlineStr"/>
      <c r="B145" s="13" t="inlineStr"/>
      <c r="C145" s="16" t="n">
        <v>13</v>
      </c>
      <c r="D145" s="14" t="inlineStr">
        <is>
          <t>https://www.jamaicaobserver.com/2020/07/25/wigton-plans-expansion-into-wider-caribbean/</t>
        </is>
      </c>
    </row>
    <row r="146" ht="15" customHeight="1">
      <c r="A146" s="12" t="inlineStr"/>
      <c r="B146" s="13" t="inlineStr"/>
      <c r="C146" s="16" t="n">
        <v>14</v>
      </c>
      <c r="D146" s="14" t="inlineStr">
        <is>
          <t>https://dbankjm.com/wigton-wind-farm/</t>
        </is>
      </c>
    </row>
    <row r="147" ht="15" customHeight="1">
      <c r="A147" s="7" t="inlineStr">
        <is>
          <t>ENLASA CI</t>
        </is>
      </c>
      <c r="B147" s="8" t="inlineStr">
        <is>
          <t>Energía Latina S.A.</t>
        </is>
      </c>
      <c r="C147" s="11" t="n">
        <v>1</v>
      </c>
      <c r="D147" s="9" t="inlineStr">
        <is>
          <t>https://www.enlasa.com/generacion-flexible/</t>
        </is>
      </c>
    </row>
    <row r="148" ht="15" customHeight="1">
      <c r="A148" s="7" t="inlineStr"/>
      <c r="B148" s="8" t="inlineStr"/>
      <c r="C148" s="11" t="n">
        <v>2</v>
      </c>
      <c r="D148" s="9" t="inlineStr">
        <is>
          <t>https://www.enlasa.com/inversionistas/</t>
        </is>
      </c>
    </row>
    <row r="149" ht="15" customHeight="1">
      <c r="A149" s="7" t="inlineStr"/>
      <c r="B149" s="8" t="inlineStr"/>
      <c r="C149" s="11" t="n">
        <v>3</v>
      </c>
      <c r="D149" s="9" t="inlineStr">
        <is>
          <t>https://humphreys.cl/wp-content/uploads/2018/08/Informe-Enlasa-Generacion-Chile-Nov-2025-Anual.pdf</t>
        </is>
      </c>
    </row>
    <row r="150" ht="15" customHeight="1">
      <c r="A150" s="7" t="inlineStr"/>
      <c r="B150" s="8" t="inlineStr"/>
      <c r="C150" s="11" t="n">
        <v>4</v>
      </c>
      <c r="D150" s="9" t="inlineStr">
        <is>
          <t>https://www.humphreys.cl/wp-content/uploads/2018/08/Informe-Enlasa-Generacion-Noviembre-2024-Nueva-Emision-LB-12-11-2024.pdf</t>
        </is>
      </c>
    </row>
    <row r="151" ht="15" customHeight="1">
      <c r="A151" s="7" t="inlineStr"/>
      <c r="B151" s="8" t="inlineStr"/>
      <c r="C151" s="11" t="n">
        <v>5</v>
      </c>
      <c r="D151" s="9" t="inlineStr">
        <is>
          <t>https://www.cmfchile.cl/documentos/pueag/crcri/recri_2017110192962.pdf</t>
        </is>
      </c>
    </row>
    <row r="152" ht="15" customHeight="1">
      <c r="A152" s="7" t="inlineStr"/>
      <c r="B152" s="8" t="inlineStr"/>
      <c r="C152" s="11" t="n">
        <v>6</v>
      </c>
      <c r="D152" s="9" t="inlineStr">
        <is>
          <t>https://www.guiachileenergia.cl/enlasa-generacion-chile-s-a/</t>
        </is>
      </c>
    </row>
    <row r="153" ht="15" customHeight="1">
      <c r="A153" s="7" t="inlineStr"/>
      <c r="B153" s="8" t="inlineStr"/>
      <c r="C153" s="11" t="n">
        <v>7</v>
      </c>
      <c r="D153" s="9" t="inlineStr">
        <is>
          <t>https://www.bnamericas.com/en/company-profile/energia-latina-sa</t>
        </is>
      </c>
    </row>
    <row r="154" ht="15" customHeight="1">
      <c r="A154" s="7" t="inlineStr"/>
      <c r="B154" s="8" t="inlineStr"/>
      <c r="C154" s="11" t="n">
        <v>8</v>
      </c>
      <c r="D154" s="9" t="inlineStr">
        <is>
          <t>https://stockanalysis.com/quote/snse/ENLASA/company/</t>
        </is>
      </c>
    </row>
    <row r="155" ht="15" customHeight="1">
      <c r="A155" s="7" t="inlineStr"/>
      <c r="B155" s="8" t="inlineStr"/>
      <c r="C155" s="11" t="n">
        <v>9</v>
      </c>
      <c r="D155" s="9" t="inlineStr">
        <is>
          <t>https://www.df.cl/empresas/energia/gasco-y-enlasa-dan-el-vamos-a-primera-central-electrica-en-base-a-glp-de</t>
        </is>
      </c>
    </row>
    <row r="156" ht="15" customHeight="1">
      <c r="A156" s="7" t="inlineStr"/>
      <c r="B156" s="8" t="inlineStr"/>
      <c r="C156" s="11" t="n">
        <v>10</v>
      </c>
      <c r="D156" s="9" t="inlineStr">
        <is>
          <t>https://www.pv-magazine-latam.com/2025/05/06/solarity-adquiere-en-chile-32-plantas-solares-de-autoconsumo-que-suman-11-mwp/</t>
        </is>
      </c>
    </row>
    <row r="157" ht="15" customHeight="1">
      <c r="A157" s="12" t="inlineStr">
        <is>
          <t>AESO3 BZ</t>
        </is>
      </c>
      <c r="B157" s="13" t="inlineStr">
        <is>
          <t>AES Brasil Energia S.A. / AES Brasil Operaco</t>
        </is>
      </c>
      <c r="C157" s="16" t="n">
        <v>1</v>
      </c>
      <c r="D157" s="14" t="inlineStr">
        <is>
          <t>https://ri.aesbrasil.com.br/en/meet-aes-brasil/aes-brasil/ (former official IR page - domain no longer resolves)</t>
        </is>
      </c>
    </row>
    <row r="158" ht="15" customHeight="1">
      <c r="A158" s="12" t="inlineStr"/>
      <c r="B158" s="13" t="inlineStr"/>
      <c r="C158" s="16" t="n">
        <v>2</v>
      </c>
      <c r="D158" s="14" t="inlineStr">
        <is>
          <t>https://ri.aurenenergia.com.br (successor group IR - recommended for a citable refresh)</t>
        </is>
      </c>
    </row>
    <row r="159" ht="15" customHeight="1">
      <c r="A159" s="12" t="inlineStr"/>
      <c r="B159" s="13" t="inlineStr"/>
      <c r="C159" s="16" t="n">
        <v>3</v>
      </c>
      <c r="D159" s="14" t="inlineStr">
        <is>
          <t>https://api.mziq.com/mzfilemanager/v2/d/691c9da5-45e0-458f-a3da-41982b1730fc/e1c93456-f992-40b5-ac87-d0615d99691c?origin=1 (AES Brasil Energia CVM filing, CNPJ 37.663.076/0001-07)</t>
        </is>
      </c>
    </row>
    <row r="160" ht="15" customHeight="1">
      <c r="A160" s="12" t="inlineStr"/>
      <c r="B160" s="13" t="inlineStr"/>
      <c r="C160" s="16" t="n">
        <v>4</v>
      </c>
      <c r="D160" s="14" t="inlineStr">
        <is>
          <t>https://www.aesbrasil.com.br/en/our-history</t>
        </is>
      </c>
    </row>
    <row r="161" ht="15" customHeight="1">
      <c r="A161" s="12" t="inlineStr"/>
      <c r="B161" s="13" t="inlineStr"/>
      <c r="C161" s="16" t="n">
        <v>5</v>
      </c>
      <c r="D161" s="14" t="inlineStr">
        <is>
          <t>https://mercadoeconsumo.com.br/22/12/2021/economia/aes-brasil-e-unipar-fecham-acordo-para-autoproducao-de-91-mw-em-geracao-eolica/</t>
        </is>
      </c>
    </row>
    <row r="162" ht="15" customHeight="1">
      <c r="A162" s="12" t="inlineStr"/>
      <c r="B162" s="13" t="inlineStr"/>
      <c r="C162" s="16" t="n">
        <v>6</v>
      </c>
      <c r="D162" s="14" t="inlineStr">
        <is>
          <t>https://financenews.com.br/2022/08/unipar-carbocloro-conclui-constituicao-de-joint-venture-com-a-aes-brasil-energia/</t>
        </is>
      </c>
    </row>
    <row r="163" ht="15" customHeight="1">
      <c r="A163" s="12" t="inlineStr"/>
      <c r="B163" s="13" t="inlineStr"/>
      <c r="C163" s="16" t="n">
        <v>7</v>
      </c>
      <c r="D163" s="14" t="inlineStr">
        <is>
          <t>https://canalsolar.com.br/en/merger-between-auren-and-aes-brazil-forms-3rd-largest-energy-generator-in-the-country/</t>
        </is>
      </c>
    </row>
    <row r="164" ht="15" customHeight="1">
      <c r="A164" s="7" t="inlineStr">
        <is>
          <t>PRMN3B BZ</t>
        </is>
      </c>
      <c r="B164" s="8" t="inlineStr">
        <is>
          <t>Produtores Energéticos de Manso S.A.</t>
        </is>
      </c>
      <c r="C164" s="11" t="n">
        <v>1</v>
      </c>
      <c r="D164" s="9" t="inlineStr">
        <is>
          <t>https://www.furnas.com.br/subsecao/124/usina-de-manso---210-mw?culture=pt</t>
        </is>
      </c>
    </row>
    <row r="165" ht="15" customHeight="1">
      <c r="A165" s="7" t="inlineStr"/>
      <c r="B165" s="8" t="inlineStr"/>
      <c r="C165" s="11" t="n">
        <v>2</v>
      </c>
      <c r="D165" s="9" t="inlineStr">
        <is>
          <t>https://promanmt.com.br/a-empresa/producao/</t>
        </is>
      </c>
    </row>
    <row r="166" ht="15" customHeight="1">
      <c r="A166" s="7" t="inlineStr"/>
      <c r="B166" s="8" t="inlineStr"/>
      <c r="C166" s="11" t="n">
        <v>3</v>
      </c>
      <c r="D166" s="9" t="inlineStr">
        <is>
          <t>https://promanmt.com.br/a-empresa/breve-historico/</t>
        </is>
      </c>
    </row>
    <row r="167" ht="15" customHeight="1">
      <c r="A167" s="7" t="inlineStr"/>
      <c r="B167" s="8" t="inlineStr"/>
      <c r="C167" s="11" t="n">
        <v>4</v>
      </c>
      <c r="D167" s="9" t="inlineStr">
        <is>
          <t>https://promanmt.com.br/wp_mnunes/wp-content/uploads/2026/05/FRE-Proman-2026.pdf</t>
        </is>
      </c>
    </row>
    <row r="168" ht="15" customHeight="1">
      <c r="A168" s="7" t="inlineStr"/>
      <c r="B168" s="8" t="inlineStr"/>
      <c r="C168" s="11" t="n">
        <v>5</v>
      </c>
      <c r="D168" s="9" t="inlineStr">
        <is>
          <t>https://publicidadelegal.monitormercantil.com.br/wp-content/uploads/2023/03/PRODUTORES-ENERGETICOS-DE-MANSO-S.A.-%E2%80%93-PROMAN-Balanco-2022.pdf</t>
        </is>
      </c>
    </row>
    <row r="169" ht="15" customHeight="1">
      <c r="A169" s="7" t="inlineStr"/>
      <c r="B169" s="8" t="inlineStr"/>
      <c r="C169" s="11" t="n">
        <v>6</v>
      </c>
      <c r="D169" s="9" t="inlineStr">
        <is>
          <t>https://publicidadelegal.monitormercantil.com.br/wp-content/uploads/2024/03/PRODUTORES-ENERGETICOS-DE-MANSO-S.A.-%E2%80%93-PROMAN-Balanco-2023.pdf</t>
        </is>
      </c>
    </row>
    <row r="170" ht="15" customHeight="1">
      <c r="A170" s="7" t="inlineStr"/>
      <c r="B170" s="8" t="inlineStr"/>
      <c r="C170" s="11" t="n">
        <v>7</v>
      </c>
      <c r="D170" s="9" t="inlineStr">
        <is>
          <t>https://www.ivalor.com.br/empresas/acoes/PRMN3B</t>
        </is>
      </c>
    </row>
    <row r="171" ht="15" customHeight="1">
      <c r="A171" s="7" t="inlineStr"/>
      <c r="B171" s="8" t="inlineStr"/>
      <c r="C171" s="11" t="n">
        <v>8</v>
      </c>
      <c r="D171" s="9" t="inlineStr">
        <is>
          <t>https://pt.wikipedia.org/wiki/Usina_Hidrel%C3%A9trica_de_Manso</t>
        </is>
      </c>
    </row>
    <row r="172" ht="15" customHeight="1">
      <c r="A172" s="12" t="inlineStr">
        <is>
          <t>GEB CB</t>
        </is>
      </c>
      <c r="B172" s="13" t="inlineStr">
        <is>
          <t>Grupo Energía Bogotá S.A. E.S.P.</t>
        </is>
      </c>
      <c r="C172" s="16" t="n">
        <v>1</v>
      </c>
      <c r="D172" s="14" t="inlineStr">
        <is>
          <t>https://www.grupoenergiabogota.com/en/geb-group</t>
        </is>
      </c>
    </row>
    <row r="173" ht="15" customHeight="1">
      <c r="A173" s="12" t="inlineStr"/>
      <c r="B173" s="13" t="inlineStr"/>
      <c r="C173" s="16" t="n">
        <v>2</v>
      </c>
      <c r="D173" s="14" t="inlineStr">
        <is>
          <t>https://www.grupoenergiabogota.com/en</t>
        </is>
      </c>
    </row>
    <row r="174" ht="15" customHeight="1">
      <c r="A174" s="12" t="inlineStr"/>
      <c r="B174" s="13" t="inlineStr"/>
      <c r="C174" s="16" t="n">
        <v>3</v>
      </c>
      <c r="D174" s="14" t="inlineStr">
        <is>
          <t>https://www.grupoenergiabogota.com/en/investors/financial-information/investors-reports</t>
        </is>
      </c>
    </row>
    <row r="175" ht="15" customHeight="1">
      <c r="A175" s="12" t="inlineStr"/>
      <c r="B175" s="13" t="inlineStr"/>
      <c r="C175" s="16" t="n">
        <v>4</v>
      </c>
      <c r="D175" s="14" t="inlineStr">
        <is>
          <t>https://www.enel.com.co/en/investors/enel-colombia/enel-organizational-structure.html</t>
        </is>
      </c>
    </row>
    <row r="176" ht="15" customHeight="1">
      <c r="A176" s="12" t="inlineStr"/>
      <c r="B176" s="13" t="inlineStr"/>
      <c r="C176" s="16" t="n">
        <v>5</v>
      </c>
      <c r="D176" s="14" t="inlineStr">
        <is>
          <t>https://www.enel.com.co/en/press/news/d202502-financial-results-2024.html</t>
        </is>
      </c>
    </row>
    <row r="177" ht="15" customHeight="1">
      <c r="A177" s="12" t="inlineStr"/>
      <c r="B177" s="13" t="inlineStr"/>
      <c r="C177" s="16" t="n">
        <v>6</v>
      </c>
      <c r="D177" s="14" t="inlineStr">
        <is>
          <t>https://www.enel.com.co/content/dam/enel-co/ingl%C3%A9s/shareholders_and_investors/enel-colombia/company-presentations/2024/Corporate%20Presentation%20Enel%20Colombia%20Sep%202024.pdf</t>
        </is>
      </c>
    </row>
    <row r="178" ht="15" customHeight="1">
      <c r="A178" s="12" t="inlineStr"/>
      <c r="B178" s="13" t="inlineStr"/>
      <c r="C178" s="16" t="n">
        <v>7</v>
      </c>
      <c r="D178" s="14" t="inlineStr">
        <is>
          <t>https://www.enelamericas.com/en/media/press/d202107-transformational-partnership-between-enel-and-grupo-de-energa-de-bogot-continues-to-make-progress.html</t>
        </is>
      </c>
    </row>
    <row r="179" ht="15" customHeight="1">
      <c r="A179" s="12" t="inlineStr"/>
      <c r="B179" s="13" t="inlineStr"/>
      <c r="C179" s="16" t="n">
        <v>8</v>
      </c>
      <c r="D179" s="14" t="inlineStr">
        <is>
          <t>https://bogota.gov.co/servicios/entidad/grupo-energia-bogota-sa-esp</t>
        </is>
      </c>
    </row>
    <row r="180" ht="15" customHeight="1">
      <c r="A180" s="12" t="inlineStr"/>
      <c r="B180" s="13" t="inlineStr"/>
      <c r="C180" s="16" t="n">
        <v>9</v>
      </c>
      <c r="D180" s="14" t="inlineStr">
        <is>
          <t>https://stockanalysis.com/quote/bvc/GEB/</t>
        </is>
      </c>
    </row>
  </sheetData>
  <mergeCells count="1">
    <mergeCell ref="A1:D1"/>
  </mergeCells>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 xmlns:r="http://schemas.openxmlformats.org/officeDocument/2006/relationships" ref="D43" r:id="rId41"/>
    <hyperlink xmlns:r="http://schemas.openxmlformats.org/officeDocument/2006/relationships" ref="D44" r:id="rId42"/>
    <hyperlink xmlns:r="http://schemas.openxmlformats.org/officeDocument/2006/relationships" ref="D45" r:id="rId43"/>
    <hyperlink xmlns:r="http://schemas.openxmlformats.org/officeDocument/2006/relationships" ref="D46" r:id="rId44"/>
    <hyperlink xmlns:r="http://schemas.openxmlformats.org/officeDocument/2006/relationships" ref="D47" r:id="rId45"/>
    <hyperlink xmlns:r="http://schemas.openxmlformats.org/officeDocument/2006/relationships" ref="D48" r:id="rId46"/>
    <hyperlink xmlns:r="http://schemas.openxmlformats.org/officeDocument/2006/relationships" ref="D49" r:id="rId47"/>
    <hyperlink xmlns:r="http://schemas.openxmlformats.org/officeDocument/2006/relationships" ref="D50" r:id="rId48"/>
    <hyperlink xmlns:r="http://schemas.openxmlformats.org/officeDocument/2006/relationships" ref="D51" r:id="rId49"/>
    <hyperlink xmlns:r="http://schemas.openxmlformats.org/officeDocument/2006/relationships" ref="D52" r:id="rId50"/>
    <hyperlink xmlns:r="http://schemas.openxmlformats.org/officeDocument/2006/relationships" ref="D53" r:id="rId51"/>
    <hyperlink xmlns:r="http://schemas.openxmlformats.org/officeDocument/2006/relationships" ref="D54" r:id="rId52"/>
    <hyperlink xmlns:r="http://schemas.openxmlformats.org/officeDocument/2006/relationships" ref="D55" r:id="rId53"/>
    <hyperlink xmlns:r="http://schemas.openxmlformats.org/officeDocument/2006/relationships" ref="D56" r:id="rId54"/>
    <hyperlink xmlns:r="http://schemas.openxmlformats.org/officeDocument/2006/relationships" ref="D57" r:id="rId55"/>
    <hyperlink xmlns:r="http://schemas.openxmlformats.org/officeDocument/2006/relationships" ref="D58" r:id="rId56"/>
    <hyperlink xmlns:r="http://schemas.openxmlformats.org/officeDocument/2006/relationships" ref="D59" r:id="rId57"/>
    <hyperlink xmlns:r="http://schemas.openxmlformats.org/officeDocument/2006/relationships" ref="D60" r:id="rId58"/>
    <hyperlink xmlns:r="http://schemas.openxmlformats.org/officeDocument/2006/relationships" ref="D61" r:id="rId59"/>
    <hyperlink xmlns:r="http://schemas.openxmlformats.org/officeDocument/2006/relationships" ref="D62" r:id="rId60"/>
    <hyperlink xmlns:r="http://schemas.openxmlformats.org/officeDocument/2006/relationships" ref="D63" r:id="rId61"/>
    <hyperlink xmlns:r="http://schemas.openxmlformats.org/officeDocument/2006/relationships" ref="D64" r:id="rId62"/>
    <hyperlink xmlns:r="http://schemas.openxmlformats.org/officeDocument/2006/relationships" ref="D65" r:id="rId63"/>
    <hyperlink xmlns:r="http://schemas.openxmlformats.org/officeDocument/2006/relationships" ref="D66" r:id="rId64"/>
    <hyperlink xmlns:r="http://schemas.openxmlformats.org/officeDocument/2006/relationships" ref="D67" r:id="rId65"/>
    <hyperlink xmlns:r="http://schemas.openxmlformats.org/officeDocument/2006/relationships" ref="D68" r:id="rId66"/>
    <hyperlink xmlns:r="http://schemas.openxmlformats.org/officeDocument/2006/relationships" ref="D69" r:id="rId67"/>
    <hyperlink xmlns:r="http://schemas.openxmlformats.org/officeDocument/2006/relationships" ref="D70" r:id="rId68"/>
    <hyperlink xmlns:r="http://schemas.openxmlformats.org/officeDocument/2006/relationships" ref="D71" r:id="rId69"/>
    <hyperlink xmlns:r="http://schemas.openxmlformats.org/officeDocument/2006/relationships" ref="D72" r:id="rId70"/>
    <hyperlink xmlns:r="http://schemas.openxmlformats.org/officeDocument/2006/relationships" ref="D73" r:id="rId71"/>
    <hyperlink xmlns:r="http://schemas.openxmlformats.org/officeDocument/2006/relationships" ref="D74" r:id="rId72"/>
    <hyperlink xmlns:r="http://schemas.openxmlformats.org/officeDocument/2006/relationships" ref="D75" r:id="rId73"/>
    <hyperlink xmlns:r="http://schemas.openxmlformats.org/officeDocument/2006/relationships" ref="D76" r:id="rId74"/>
    <hyperlink xmlns:r="http://schemas.openxmlformats.org/officeDocument/2006/relationships" ref="D77" r:id="rId75"/>
    <hyperlink xmlns:r="http://schemas.openxmlformats.org/officeDocument/2006/relationships" ref="D78" r:id="rId76"/>
    <hyperlink xmlns:r="http://schemas.openxmlformats.org/officeDocument/2006/relationships" ref="D79" r:id="rId77"/>
    <hyperlink xmlns:r="http://schemas.openxmlformats.org/officeDocument/2006/relationships" ref="D80" r:id="rId78"/>
    <hyperlink xmlns:r="http://schemas.openxmlformats.org/officeDocument/2006/relationships" ref="D81" r:id="rId79"/>
    <hyperlink xmlns:r="http://schemas.openxmlformats.org/officeDocument/2006/relationships" ref="D82" r:id="rId80"/>
    <hyperlink xmlns:r="http://schemas.openxmlformats.org/officeDocument/2006/relationships" ref="D83" r:id="rId81"/>
    <hyperlink xmlns:r="http://schemas.openxmlformats.org/officeDocument/2006/relationships" ref="D84" r:id="rId82"/>
    <hyperlink xmlns:r="http://schemas.openxmlformats.org/officeDocument/2006/relationships" ref="D85" r:id="rId83"/>
    <hyperlink xmlns:r="http://schemas.openxmlformats.org/officeDocument/2006/relationships" ref="D86" r:id="rId84"/>
    <hyperlink xmlns:r="http://schemas.openxmlformats.org/officeDocument/2006/relationships" ref="D87" r:id="rId85"/>
    <hyperlink xmlns:r="http://schemas.openxmlformats.org/officeDocument/2006/relationships" ref="D88" r:id="rId86"/>
    <hyperlink xmlns:r="http://schemas.openxmlformats.org/officeDocument/2006/relationships" ref="D89" r:id="rId87"/>
    <hyperlink xmlns:r="http://schemas.openxmlformats.org/officeDocument/2006/relationships" ref="D90" r:id="rId88"/>
    <hyperlink xmlns:r="http://schemas.openxmlformats.org/officeDocument/2006/relationships" ref="D91" r:id="rId89"/>
    <hyperlink xmlns:r="http://schemas.openxmlformats.org/officeDocument/2006/relationships" ref="D92" r:id="rId90"/>
    <hyperlink xmlns:r="http://schemas.openxmlformats.org/officeDocument/2006/relationships" ref="D93" r:id="rId91"/>
    <hyperlink xmlns:r="http://schemas.openxmlformats.org/officeDocument/2006/relationships" ref="D94" r:id="rId92"/>
    <hyperlink xmlns:r="http://schemas.openxmlformats.org/officeDocument/2006/relationships" ref="D95" r:id="rId93"/>
    <hyperlink xmlns:r="http://schemas.openxmlformats.org/officeDocument/2006/relationships" ref="D96" r:id="rId94"/>
    <hyperlink xmlns:r="http://schemas.openxmlformats.org/officeDocument/2006/relationships" ref="D97" r:id="rId95"/>
    <hyperlink xmlns:r="http://schemas.openxmlformats.org/officeDocument/2006/relationships" ref="D98" r:id="rId96"/>
    <hyperlink xmlns:r="http://schemas.openxmlformats.org/officeDocument/2006/relationships" ref="D99" r:id="rId97"/>
    <hyperlink xmlns:r="http://schemas.openxmlformats.org/officeDocument/2006/relationships" ref="D100" r:id="rId98"/>
    <hyperlink xmlns:r="http://schemas.openxmlformats.org/officeDocument/2006/relationships" ref="D101" r:id="rId99"/>
    <hyperlink xmlns:r="http://schemas.openxmlformats.org/officeDocument/2006/relationships" ref="D102" r:id="rId100"/>
    <hyperlink xmlns:r="http://schemas.openxmlformats.org/officeDocument/2006/relationships" ref="D103" r:id="rId101"/>
    <hyperlink xmlns:r="http://schemas.openxmlformats.org/officeDocument/2006/relationships" ref="D104" r:id="rId102"/>
    <hyperlink xmlns:r="http://schemas.openxmlformats.org/officeDocument/2006/relationships" ref="D105" r:id="rId103"/>
    <hyperlink xmlns:r="http://schemas.openxmlformats.org/officeDocument/2006/relationships" ref="D106" r:id="rId104"/>
    <hyperlink xmlns:r="http://schemas.openxmlformats.org/officeDocument/2006/relationships" ref="D107" r:id="rId105"/>
    <hyperlink xmlns:r="http://schemas.openxmlformats.org/officeDocument/2006/relationships" ref="D108" r:id="rId106"/>
    <hyperlink xmlns:r="http://schemas.openxmlformats.org/officeDocument/2006/relationships" ref="D109" r:id="rId107"/>
    <hyperlink xmlns:r="http://schemas.openxmlformats.org/officeDocument/2006/relationships" ref="D110" r:id="rId108"/>
    <hyperlink xmlns:r="http://schemas.openxmlformats.org/officeDocument/2006/relationships" ref="D111" r:id="rId109"/>
    <hyperlink xmlns:r="http://schemas.openxmlformats.org/officeDocument/2006/relationships" ref="D112" r:id="rId110"/>
    <hyperlink xmlns:r="http://schemas.openxmlformats.org/officeDocument/2006/relationships" ref="D113" r:id="rId111"/>
    <hyperlink xmlns:r="http://schemas.openxmlformats.org/officeDocument/2006/relationships" ref="D114" r:id="rId112"/>
    <hyperlink xmlns:r="http://schemas.openxmlformats.org/officeDocument/2006/relationships" ref="D115" r:id="rId113"/>
    <hyperlink xmlns:r="http://schemas.openxmlformats.org/officeDocument/2006/relationships" ref="D116" r:id="rId114"/>
    <hyperlink xmlns:r="http://schemas.openxmlformats.org/officeDocument/2006/relationships" ref="D117" r:id="rId115"/>
    <hyperlink xmlns:r="http://schemas.openxmlformats.org/officeDocument/2006/relationships" ref="D118" r:id="rId116"/>
    <hyperlink xmlns:r="http://schemas.openxmlformats.org/officeDocument/2006/relationships" ref="D119" r:id="rId117"/>
    <hyperlink xmlns:r="http://schemas.openxmlformats.org/officeDocument/2006/relationships" ref="D120" r:id="rId118"/>
    <hyperlink xmlns:r="http://schemas.openxmlformats.org/officeDocument/2006/relationships" ref="D121" r:id="rId119"/>
    <hyperlink xmlns:r="http://schemas.openxmlformats.org/officeDocument/2006/relationships" ref="D122" r:id="rId120"/>
    <hyperlink xmlns:r="http://schemas.openxmlformats.org/officeDocument/2006/relationships" ref="D123" r:id="rId121"/>
    <hyperlink xmlns:r="http://schemas.openxmlformats.org/officeDocument/2006/relationships" ref="D124" r:id="rId122"/>
    <hyperlink xmlns:r="http://schemas.openxmlformats.org/officeDocument/2006/relationships" ref="D125" r:id="rId123"/>
    <hyperlink xmlns:r="http://schemas.openxmlformats.org/officeDocument/2006/relationships" ref="D126" r:id="rId124"/>
    <hyperlink xmlns:r="http://schemas.openxmlformats.org/officeDocument/2006/relationships" ref="D127" r:id="rId125"/>
    <hyperlink xmlns:r="http://schemas.openxmlformats.org/officeDocument/2006/relationships" ref="D128" r:id="rId126"/>
    <hyperlink xmlns:r="http://schemas.openxmlformats.org/officeDocument/2006/relationships" ref="D129" r:id="rId127"/>
    <hyperlink xmlns:r="http://schemas.openxmlformats.org/officeDocument/2006/relationships" ref="D130" r:id="rId128"/>
    <hyperlink xmlns:r="http://schemas.openxmlformats.org/officeDocument/2006/relationships" ref="D131" r:id="rId129"/>
    <hyperlink xmlns:r="http://schemas.openxmlformats.org/officeDocument/2006/relationships" ref="D132" r:id="rId130"/>
    <hyperlink xmlns:r="http://schemas.openxmlformats.org/officeDocument/2006/relationships" ref="D133" r:id="rId131"/>
    <hyperlink xmlns:r="http://schemas.openxmlformats.org/officeDocument/2006/relationships" ref="D134" r:id="rId132"/>
    <hyperlink xmlns:r="http://schemas.openxmlformats.org/officeDocument/2006/relationships" ref="D135" r:id="rId133"/>
    <hyperlink xmlns:r="http://schemas.openxmlformats.org/officeDocument/2006/relationships" ref="D136" r:id="rId134"/>
    <hyperlink xmlns:r="http://schemas.openxmlformats.org/officeDocument/2006/relationships" ref="D137" r:id="rId135"/>
    <hyperlink xmlns:r="http://schemas.openxmlformats.org/officeDocument/2006/relationships" ref="D138" r:id="rId136"/>
    <hyperlink xmlns:r="http://schemas.openxmlformats.org/officeDocument/2006/relationships" ref="D139" r:id="rId137"/>
    <hyperlink xmlns:r="http://schemas.openxmlformats.org/officeDocument/2006/relationships" ref="D140" r:id="rId138"/>
    <hyperlink xmlns:r="http://schemas.openxmlformats.org/officeDocument/2006/relationships" ref="D141" r:id="rId139"/>
    <hyperlink xmlns:r="http://schemas.openxmlformats.org/officeDocument/2006/relationships" ref="D142" r:id="rId140"/>
    <hyperlink xmlns:r="http://schemas.openxmlformats.org/officeDocument/2006/relationships" ref="D143" r:id="rId141"/>
    <hyperlink xmlns:r="http://schemas.openxmlformats.org/officeDocument/2006/relationships" ref="D144" r:id="rId142"/>
    <hyperlink xmlns:r="http://schemas.openxmlformats.org/officeDocument/2006/relationships" ref="D145" r:id="rId143"/>
    <hyperlink xmlns:r="http://schemas.openxmlformats.org/officeDocument/2006/relationships" ref="D146" r:id="rId144"/>
    <hyperlink xmlns:r="http://schemas.openxmlformats.org/officeDocument/2006/relationships" ref="D147" r:id="rId145"/>
    <hyperlink xmlns:r="http://schemas.openxmlformats.org/officeDocument/2006/relationships" ref="D148" r:id="rId146"/>
    <hyperlink xmlns:r="http://schemas.openxmlformats.org/officeDocument/2006/relationships" ref="D149" r:id="rId147"/>
    <hyperlink xmlns:r="http://schemas.openxmlformats.org/officeDocument/2006/relationships" ref="D150" r:id="rId148"/>
    <hyperlink xmlns:r="http://schemas.openxmlformats.org/officeDocument/2006/relationships" ref="D151" r:id="rId149"/>
    <hyperlink xmlns:r="http://schemas.openxmlformats.org/officeDocument/2006/relationships" ref="D152" r:id="rId150"/>
    <hyperlink xmlns:r="http://schemas.openxmlformats.org/officeDocument/2006/relationships" ref="D153" r:id="rId151"/>
    <hyperlink xmlns:r="http://schemas.openxmlformats.org/officeDocument/2006/relationships" ref="D154" r:id="rId152"/>
    <hyperlink xmlns:r="http://schemas.openxmlformats.org/officeDocument/2006/relationships" ref="D155" r:id="rId153"/>
    <hyperlink xmlns:r="http://schemas.openxmlformats.org/officeDocument/2006/relationships" ref="D156" r:id="rId154"/>
    <hyperlink xmlns:r="http://schemas.openxmlformats.org/officeDocument/2006/relationships" ref="D157" r:id="rId155"/>
    <hyperlink xmlns:r="http://schemas.openxmlformats.org/officeDocument/2006/relationships" ref="D158" r:id="rId156"/>
    <hyperlink xmlns:r="http://schemas.openxmlformats.org/officeDocument/2006/relationships" ref="D159" r:id="rId157"/>
    <hyperlink xmlns:r="http://schemas.openxmlformats.org/officeDocument/2006/relationships" ref="D160" r:id="rId158"/>
    <hyperlink xmlns:r="http://schemas.openxmlformats.org/officeDocument/2006/relationships" ref="D161" r:id="rId159"/>
    <hyperlink xmlns:r="http://schemas.openxmlformats.org/officeDocument/2006/relationships" ref="D162" r:id="rId160"/>
    <hyperlink xmlns:r="http://schemas.openxmlformats.org/officeDocument/2006/relationships" ref="D163" r:id="rId161"/>
    <hyperlink xmlns:r="http://schemas.openxmlformats.org/officeDocument/2006/relationships" ref="D164" r:id="rId162"/>
    <hyperlink xmlns:r="http://schemas.openxmlformats.org/officeDocument/2006/relationships" ref="D165" r:id="rId163"/>
    <hyperlink xmlns:r="http://schemas.openxmlformats.org/officeDocument/2006/relationships" ref="D166" r:id="rId164"/>
    <hyperlink xmlns:r="http://schemas.openxmlformats.org/officeDocument/2006/relationships" ref="D167" r:id="rId165"/>
    <hyperlink xmlns:r="http://schemas.openxmlformats.org/officeDocument/2006/relationships" ref="D168" r:id="rId166"/>
    <hyperlink xmlns:r="http://schemas.openxmlformats.org/officeDocument/2006/relationships" ref="D169" r:id="rId167"/>
    <hyperlink xmlns:r="http://schemas.openxmlformats.org/officeDocument/2006/relationships" ref="D170" r:id="rId168"/>
    <hyperlink xmlns:r="http://schemas.openxmlformats.org/officeDocument/2006/relationships" ref="D171" r:id="rId169"/>
    <hyperlink xmlns:r="http://schemas.openxmlformats.org/officeDocument/2006/relationships" ref="D172" r:id="rId170"/>
    <hyperlink xmlns:r="http://schemas.openxmlformats.org/officeDocument/2006/relationships" ref="D173" r:id="rId171"/>
    <hyperlink xmlns:r="http://schemas.openxmlformats.org/officeDocument/2006/relationships" ref="D174" r:id="rId172"/>
    <hyperlink xmlns:r="http://schemas.openxmlformats.org/officeDocument/2006/relationships" ref="D175" r:id="rId173"/>
    <hyperlink xmlns:r="http://schemas.openxmlformats.org/officeDocument/2006/relationships" ref="D176" r:id="rId174"/>
    <hyperlink xmlns:r="http://schemas.openxmlformats.org/officeDocument/2006/relationships" ref="D177" r:id="rId175"/>
    <hyperlink xmlns:r="http://schemas.openxmlformats.org/officeDocument/2006/relationships" ref="D178" r:id="rId176"/>
    <hyperlink xmlns:r="http://schemas.openxmlformats.org/officeDocument/2006/relationships" ref="D179" r:id="rId177"/>
    <hyperlink xmlns:r="http://schemas.openxmlformats.org/officeDocument/2006/relationships" ref="D180" r:id="rId17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2" customWidth="1" min="2" max="2"/>
    <col width="11" customWidth="1" min="3" max="3"/>
    <col width="24" customWidth="1" min="4" max="4"/>
    <col width="20" customWidth="1" min="5" max="5"/>
    <col width="26" customWidth="1" min="6" max="6"/>
    <col width="9" customWidth="1" min="7" max="7"/>
    <col width="34" customWidth="1" min="8" max="8"/>
    <col width="18" customWidth="1" min="9" max="9"/>
    <col width="18" customWidth="1" min="10" max="10"/>
    <col width="12" customWidth="1" min="11" max="11"/>
    <col width="8" customWidth="1" min="12" max="12"/>
    <col width="58" customWidth="1" min="13" max="13"/>
    <col width="40" customWidth="1" min="14" max="14"/>
    <col width="44" customWidth="1" min="15" max="15"/>
  </cols>
  <sheetData>
    <row r="1" ht="22" customHeight="1">
      <c r="A1" s="19" t="inlineStr">
        <is>
          <t>Stated hurdle rates / target returns relevant to gas, PPAs &amp; investment — 18 listed LatAm power companies (official sources first)</t>
        </is>
      </c>
    </row>
    <row r="2" ht="88" customHeight="1">
      <c r="A2" s="2" t="inlineStr">
        <is>
          <t>Key finding: NO company in this list publishes a single gas-fired-generation IRR *hurdle* the way NRG/Vistra/RWE/AGL do. The CLOSEST — and best gas data point — is ENEVA, which discloses per-project REAL IRRs benchmarked as a spread over the NTN-b 2040 real risk-free rate (top rows; full breakdown on the 'Eneva Project IRRs' tab, from the April-2026 deck you provided). Others disclose a spread-over-WACC or a portfolio target IRR. Colbún's official domain remains blocked by this environment's egress policy (see 'Coverage &amp; Gaps'). Non-Eneva quotes were captured via web-search of official sources; many official PDFs were 403-blocked, so page-level verbatim was often unavailable (noted per row).</t>
        </is>
      </c>
    </row>
    <row r="3" ht="30" customHeight="1">
      <c r="A3" s="6" t="inlineStr">
        <is>
          <t>Category</t>
        </is>
      </c>
      <c r="B3" s="6" t="inlineStr">
        <is>
          <t>Company</t>
        </is>
      </c>
      <c r="C3" s="6" t="inlineStr">
        <is>
          <t>Ticker</t>
        </is>
      </c>
      <c r="D3" s="6" t="inlineStr">
        <is>
          <t>Scope</t>
        </is>
      </c>
      <c r="E3" s="6" t="inlineStr">
        <is>
          <t>Metric</t>
        </is>
      </c>
      <c r="F3" s="6" t="inlineStr">
        <is>
          <t>Stated rate</t>
        </is>
      </c>
      <c r="G3" s="6" t="inlineStr">
        <is>
          <t>Gas-
specific?</t>
        </is>
      </c>
      <c r="H3" s="6" t="inlineStr">
        <is>
          <t>Basis</t>
        </is>
      </c>
      <c r="I3" s="6" t="inlineStr">
        <is>
          <t>Date of statement</t>
        </is>
      </c>
      <c r="J3" s="6" t="inlineStr">
        <is>
          <t>Source type</t>
        </is>
      </c>
      <c r="K3" s="6" t="inlineStr">
        <is>
          <t>Official?</t>
        </is>
      </c>
      <c r="L3" s="6" t="inlineStr">
        <is>
          <t>Conf.</t>
        </is>
      </c>
      <c r="M3" s="6" t="inlineStr">
        <is>
          <t>Verbatim quote</t>
        </is>
      </c>
      <c r="N3" s="6" t="inlineStr">
        <is>
          <t>Source</t>
        </is>
      </c>
      <c r="O3" s="6" t="inlineStr">
        <is>
          <t>Source detail</t>
        </is>
      </c>
    </row>
    <row r="4" ht="150" customHeight="1">
      <c r="A4" s="20" t="inlineStr">
        <is>
          <t>A · Gas-specific</t>
        </is>
      </c>
      <c r="B4" s="21" t="inlineStr">
        <is>
          <t>Eneva</t>
        </is>
      </c>
      <c r="C4" s="20" t="inlineStr">
        <is>
          <t>ENEV3 BZ</t>
        </is>
      </c>
      <c r="D4" s="21" t="inlineStr">
        <is>
          <t>New gas-to-power (2026 Capacity Auction 'LRCAP26' — Sergipe / Ceará / Southeast hubs)</t>
        </is>
      </c>
      <c r="E4" s="21" t="inlineStr">
        <is>
          <t>Unlevered IRR (real)</t>
        </is>
      </c>
      <c r="F4" s="20" t="inlineStr">
        <is>
          <t>~14%–27% real (Southeast ~14%, Ceará ~22%, Sergipe ~26–27%)</t>
        </is>
      </c>
      <c r="G4" s="22" t="inlineStr">
        <is>
          <t>Yes</t>
        </is>
      </c>
      <c r="H4" s="21" t="inlineStr">
        <is>
          <t>Unlevered, real (IPCA-linked), BRL. Shown as a spread over NTN-b 2040 (real risk-free). 'Unlevered IRR given projects have not begun financing.' LRCAP26 capex R$18.2bn.</t>
        </is>
      </c>
      <c r="I4" s="21" t="inlineStr">
        <is>
          <t>April 2026 (as of Mar-26)</t>
        </is>
      </c>
      <c r="J4" s="21" t="inlineStr">
        <is>
          <t>investor presentation</t>
        </is>
      </c>
      <c r="K4" s="22" t="inlineStr">
        <is>
          <t>Official</t>
        </is>
      </c>
      <c r="L4" s="22" t="inlineStr">
        <is>
          <t>Medium</t>
        </is>
      </c>
      <c r="M4" s="21" t="inlineStr">
        <is>
          <t>'Leveraged Internal Rate of Return (IRR) of Projects (in real terms)'; note (7) 'Unlevered IRR given projects have not begun financing'; 'LRCAP26 Capex R$ 18.2 bi'.</t>
        </is>
      </c>
      <c r="N4" s="23" t="inlineStr">
        <is>
          <t>https://ri.eneva.com.br/en/financial-information/presentations-and-conference-calls/</t>
        </is>
      </c>
      <c r="O4" s="21" t="inlineStr">
        <is>
          <t>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5" ht="150" customHeight="1">
      <c r="A5" s="20" t="inlineStr">
        <is>
          <t>A · Gas-specific</t>
        </is>
      </c>
      <c r="B5" s="21" t="inlineStr">
        <is>
          <t>Eneva</t>
        </is>
      </c>
      <c r="C5" s="20" t="inlineStr">
        <is>
          <t>ENEV3 BZ</t>
        </is>
      </c>
      <c r="D5" s="21" t="inlineStr">
        <is>
          <t>Existing G2P / thermal / LNG projects (Parnaíba V &amp; VI, Azulão-Jaguatirica, Azulão 950, Small-Scale LNG, Fortaleza TPP, Celse, BTG)</t>
        </is>
      </c>
      <c r="E5" s="21" t="inlineStr">
        <is>
          <t>Leveraged IRR (real)</t>
        </is>
      </c>
      <c r="F5" s="20" t="inlineStr">
        <is>
          <t>~10%–30% real (e.g. Parnaíba V ~20%, Small-Scale LNG ~24–30%, Azulão-Jaguatirica ~11%)</t>
        </is>
      </c>
      <c r="G5" s="22" t="inlineStr">
        <is>
          <t>Yes</t>
        </is>
      </c>
      <c r="H5" s="21" t="inlineStr">
        <is>
          <t>Leveraged, real (IPCA-linked), BRL; shown as spread over NTN-b 2040. Project-level leverage 46%–85% of capex; avg debt cost IPCA+3.1% to +7.0% (printed on slide). Fortaleza TPP unleveraged at acquisition.</t>
        </is>
      </c>
      <c r="I5" s="21" t="inlineStr">
        <is>
          <t>April 2026 deck (projects Dec-18 → Nov-24)</t>
        </is>
      </c>
      <c r="J5" s="21" t="inlineStr">
        <is>
          <t>investor presentation</t>
        </is>
      </c>
      <c r="K5" s="22" t="inlineStr">
        <is>
          <t>Official</t>
        </is>
      </c>
      <c r="L5" s="22" t="inlineStr">
        <is>
          <t>Medium</t>
        </is>
      </c>
      <c r="M5" s="21" t="inlineStr">
        <is>
          <t>Printed on slide 13 — Project Level Leverage (%capex): 56 / 59 / 46 / 85 / 66 / n.a. / on-going / n.a. / 9. Avg Cost (IPCA+): 3.1% / 3.3% / 4.4% / 5.8% / 3.4% / n.a. / 4.1% / 7.0% / 6.9%. See the 'Eneva Project IRRs' tab.</t>
        </is>
      </c>
      <c r="N5" s="23" t="inlineStr">
        <is>
          <t>https://ri.eneva.com.br/en/financial-information/presentations-and-conference-calls/</t>
        </is>
      </c>
      <c r="O5" s="21" t="inlineStr">
        <is>
          <t>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6" ht="150" customHeight="1">
      <c r="A6" s="24" t="inlineStr">
        <is>
          <t>B · Investment hurdle (spread / target IRR)</t>
        </is>
      </c>
      <c r="B6" s="25" t="inlineStr">
        <is>
          <t>Eneva</t>
        </is>
      </c>
      <c r="C6" s="24" t="inlineStr">
        <is>
          <t>ENEV3 BZ</t>
        </is>
      </c>
      <c r="D6" s="25" t="inlineStr">
        <is>
          <t>Company-wide capital-allocation discipline</t>
        </is>
      </c>
      <c r="E6" s="25" t="inlineStr">
        <is>
          <t>Spread over NTN-b 2040 (real risk-free)</t>
        </is>
      </c>
      <c r="F6" s="24" t="inlineStr">
        <is>
          <t>Positive real spread over NTN-b 2040 (~6–9% real over the period); no single numeric hurdle stated</t>
        </is>
      </c>
      <c r="G6" s="26" t="inlineStr">
        <is>
          <t>No</t>
        </is>
      </c>
      <c r="H6" s="25" t="inlineStr">
        <is>
          <t>Real, BRL; benchmark = NTN-b 2040 (IPCA-linked Treasury). Eneva presents returns as a spread over the real risk-free rate rather than a fixed hurdle %.</t>
        </is>
      </c>
      <c r="I6" s="25" t="inlineStr">
        <is>
          <t>April 2026</t>
        </is>
      </c>
      <c r="J6" s="25" t="inlineStr">
        <is>
          <t>investor presentation</t>
        </is>
      </c>
      <c r="K6" s="26" t="inlineStr">
        <is>
          <t>Official</t>
        </is>
      </c>
      <c r="L6" s="26" t="inlineStr">
        <is>
          <t>Medium</t>
        </is>
      </c>
      <c r="M6" s="25" t="inlineStr">
        <is>
          <t>Slide 13 y-axis 'Spread to NTN-b 2040'; white benchmark line 'NTN-b 2040' — note (8) 'Brazilian Treasury Bond linked to Brazilian Consumer Prices Inflation Variation (IPCA Index)'.</t>
        </is>
      </c>
      <c r="N6" s="27" t="inlineStr">
        <is>
          <t>https://ri.eneva.com.br/en/financial-information/presentations-and-conference-calls/</t>
        </is>
      </c>
      <c r="O6" s="25" t="inlineStr">
        <is>
          <t>Eneva does not publish a single hurdle-rate %; it benchmarks each project's real IRR against the NTN-b 2040 real risk-free rate. Eneva Corporate Presentation, April 2026, slide 13 ('…With Capital Allocations with Sound Returns…'). File provided by user (official Eneva deck; api.mziq.com host is blocked by this environment's egress policy). IRR %s are approximate — read from the chart (0–30% axis); the deck prints no numeric IRR table.</t>
        </is>
      </c>
    </row>
    <row r="7" ht="150" customHeight="1">
      <c r="A7" s="20" t="inlineStr">
        <is>
          <t>A · Gas-specific</t>
        </is>
      </c>
      <c r="B7" s="21" t="inlineStr">
        <is>
          <t>Grupo Energía Bogotá</t>
        </is>
      </c>
      <c r="C7" s="20" t="inlineStr">
        <is>
          <t>GEB CB</t>
        </is>
      </c>
      <c r="D7" s="21" t="inlineStr">
        <is>
          <t>gas transport</t>
        </is>
      </c>
      <c r="E7" s="21" t="inlineStr">
        <is>
          <t>regulated (RAB) WACC for gas transport</t>
        </is>
      </c>
      <c r="F7" s="20" t="inlineStr">
        <is>
          <t>11.88% (raised from 10.94%); rate rolled back / refund ordered by CREG in 2026</t>
        </is>
      </c>
      <c r="G7" s="22" t="inlineStr">
        <is>
          <t>Yes</t>
        </is>
      </c>
      <c r="H7" s="21" t="inlineStr">
        <is>
          <t>pre-tax (antes de impuestos), real (pesos constantes / constant COP)</t>
        </is>
      </c>
      <c r="I7" s="21" t="inlineStr">
        <is>
          <t>Resolución CREG 102 002 de 2023 (approved CREG session 1271, 2 June 2023). Base rate/methodology: Resolución CREG 103 de 2021 (10.94% en pesos constantes antes de impuestos). CORRECTION: draft cited 'CREG 004/175 de 2021' as the base — the 10.94% base rate is actually from Resolución CREG 103 de 2021 (Res. 175 de 2021 is a separate general remuneration methodology).</t>
        </is>
      </c>
      <c r="J7" s="21" t="inlineStr">
        <is>
          <t>regulatory filing</t>
        </is>
      </c>
      <c r="K7" s="22" t="inlineStr">
        <is>
          <t>Official</t>
        </is>
      </c>
      <c r="L7" s="22" t="inlineStr">
        <is>
          <t>Medium</t>
        </is>
      </c>
      <c r="M7" s="21" t="inlineStr">
        <is>
          <t>"...un incremento en la tasa de descuento del costo de capital (WACC), que pasó de 10,94% a 11,88% en 2023 mediante la Resolución CREG 102 002, permitiendo a empresas transportadoras como TGI —filial del Grupo de Energía de Bogotá— incrementar costos en la componente de transporte." / "CREG Resolution 103 of 2021 with a WACC of 10.94% in constant pesos before taxes" ("...an increase in the discount rate / cost of capital (WACC), which went from 10.94% to 11.88% in 2023 via CREG Resolution 102 002, allowing transport companies such as TGI —subsidiary of Grupo de Energía de Bogotá— to increase costs in the transport component"; base rate of 10.94% set by CREG Resolution 103 of 2021, expressed in constant pesos before taxes). Source: Ministerio de Minas y Energía / El Nuevo Siglo / Infobae reporting on the CREG resolutions; primary CREG resolution text not directly retrievable (HTTP 403).</t>
        </is>
      </c>
      <c r="N7" s="23" t="inlineStr">
        <is>
          <t>https://www.minenergia.gov.co/es/sala-de-prensa/noticias-index/gobierno-ordena-devolver-mas-de-150-mil-millones-a-usuarios-de-gas-natural-por-cobros-adicionales-en-transporte/</t>
        </is>
      </c>
      <c r="O7" s="21" t="inlineStr">
        <is>
          <t>Regulator-set (CREG) WACC applied to gas transport activity, applicable to TGI (GEB's Colombian gas-transport subsidiary) and Promigas. Resolución CREG 102 002 de 2023 raised the tasa de descuento from 10.94% to 11.88% (increase justified by the 35% income-tax rate under Ley 2277 de 2022). Figure corroborated across multiple official/press sources: Ministerio de Minas y Energía, Forbes Colombia, Infobae, El Colombiano, Semana, El Nuevo Siglo. Primary CREG pages (gestornormativo.creg.gov.co originals + htm, suin-juriscol.gov.co) all returned HTTP 403 to automated fetch, so no verbatim pull from the primary CREG document was possible. IMPORTANT: this is a regulator-set RAB return, NOT an investment hurdle rate independently declared by GEB. In March 2026 CREG upheld appeals, ordered the WACC reduced and ~COP 150bn overcharged (2023-present) refunded to users, so the 11.88% rate is rolled back / under dispute.</t>
        </is>
      </c>
    </row>
    <row r="8" ht="150" customHeight="1">
      <c r="A8" s="20" t="inlineStr">
        <is>
          <t>A · Gas-specific (regulatory / historical)</t>
        </is>
      </c>
      <c r="B8" s="21" t="inlineStr">
        <is>
          <t>AES Brasil / AES Corp</t>
        </is>
      </c>
      <c r="C8" s="20" t="inlineStr">
        <is>
          <t>AESO3 BZ</t>
        </is>
      </c>
      <c r="D8" s="21" t="inlineStr">
        <is>
          <t>named gas project</t>
        </is>
      </c>
      <c r="E8" s="21" t="inlineStr">
        <is>
          <t>regulated / regulatory return (ANEEL WACC embedded in the plant's tariff/CVU)</t>
        </is>
      </c>
      <c r="F8" s="20" t="inlineStr">
        <is>
          <t>7.16% (described as a real return, already net of taxes)</t>
        </is>
      </c>
      <c r="G8" s="22" t="inlineStr">
        <is>
          <t>Yes</t>
        </is>
      </c>
      <c r="H8" s="21" t="inlineStr">
        <is>
          <t>Real, post-tax ('real index foreseen for generators, based on WACC, already discounting taxes'), BRL. This is a regulator-set (ANEEL) WACC used in the Uruguaiana gas-fired thermal plant's variable-cost/tariff (CVU) calculation, NOT a hurdle rate stated by AES. In the underlying 2015 dispute the generator had applied a 10% rate and ANEEL imposed 7.16%, so 7.16% is ANEEL's figure, expressly not AES's own return expectation. Levered/unlevered: not stated (regulatory WACC).</t>
        </is>
      </c>
      <c r="I8" s="21" t="inlineStr">
        <is>
          <t>ANEEL determination for the AES Uruguaiana gas-fired thermal plant; the 7.16% vs 10% dispute references February 2015. Plant divested by AES in 2020. Exact determination date not confirmed from an official AES source.</t>
        </is>
      </c>
      <c r="J8" s="21" t="inlineStr">
        <is>
          <t>news (reporting an ANEEL regulatory determination) — third party</t>
        </is>
      </c>
      <c r="K8" s="22" t="inlineStr">
        <is>
          <t>Third-party</t>
        </is>
      </c>
      <c r="L8" s="22" t="inlineStr">
        <is>
          <t>Low</t>
        </is>
      </c>
      <c r="M8" s="21" t="inlineStr">
        <is>
          <t>Per the source summary (Portuguese, translated): the 7.16% 'is the real index foreseen for generators, based on the calculation of WACC (weighted average cost of capital), already discounting taxes; the CVU was calculated based on a regulatory return rate of 7.16% per year' — versus the 10% rate the generator had applied. Full primary-page verbatim not accessible (page 403-blocked); wording confirmed via WebSearch summary.</t>
        </is>
      </c>
      <c r="N8" s="23" t="inlineStr">
        <is>
          <t>https://www.canalenergia.com.br/noticias/4931313/aneel-mantem-taxa-de-retorno-de-uruguaiana-em-716</t>
        </is>
      </c>
      <c r="O8" s="21" t="inlineStr">
        <is>
          <t>CanalEnergia article 'Aneel mantem taxa de retorno de Uruguaiana em 7,16%'. Reports ANEEL keeping the regulatory return for the Uruguaiana gas thermal plant at 7.16% (real, WACC-based, net of taxes) in the CVU calculation, over the generator's applied 10% rate. The CanalEnergia page returned a 403 proxy denial on direct WebFetch; wording confirmed via WebSearch result summary. Third-party source; regulator-set figure, not AES's own investment hurdle; AES/AES Brasil divested Uruguaiana in 2020.</t>
        </is>
      </c>
    </row>
    <row r="9" ht="150" customHeight="1">
      <c r="A9" s="24" t="inlineStr">
        <is>
          <t>B · Investment hurdle (spread / target IRR)</t>
        </is>
      </c>
      <c r="B9" s="25" t="inlineStr">
        <is>
          <t>Enel Generación Chile</t>
        </is>
      </c>
      <c r="C9" s="24" t="inlineStr">
        <is>
          <t>ENELGXCH CI</t>
        </is>
      </c>
      <c r="D9" s="25" t="inlineStr">
        <is>
          <t>renewables (standalone battery storage / BESS)</t>
        </is>
      </c>
      <c r="E9" s="25" t="inlineStr">
        <is>
          <t>spread over WACC</t>
        </is>
      </c>
      <c r="F9" s="24" t="inlineStr">
        <is>
          <t>at least +300 bps above WACC (&gt;=300 basis points spread)</t>
        </is>
      </c>
      <c r="G9" s="26" t="inlineStr">
        <is>
          <t>No</t>
        </is>
      </c>
      <c r="H9" s="25" t="inlineStr">
        <is>
          <t>not stated (spread over the company's WACC; pre/post-tax and real/nominal not specified; currency not specified). This is storage/BESS-specific, explicitly NOT gas.</t>
        </is>
      </c>
      <c r="I9" s="25" t="inlineStr">
        <is>
          <t>Enel Chile Q1 2026 earnings call, late April 2026 (call/results reported ~29 Apr - 4 May 2026)</t>
        </is>
      </c>
      <c r="J9" s="25" t="inlineStr">
        <is>
          <t>earnings call transcript</t>
        </is>
      </c>
      <c r="K9" s="26" t="inlineStr">
        <is>
          <t>Official</t>
        </is>
      </c>
      <c r="L9" s="26" t="inlineStr">
        <is>
          <t>High</t>
        </is>
      </c>
      <c r="M9" s="25" t="inlineStr">
        <is>
          <t>As reported consistently across transcripts of the official call: management stated the company advances standalone BESS projects only when returns are "at least 300 basis points above our WACC," and stress-tests them against more critical/stressed market scenarios. (Related: standalone BESS can be profitable, with higher profitability when the BESS is used to hybridize an existing power plant.) Exact primary-webcast wording could not be independently read due to proxy egress blocking (403).</t>
        </is>
      </c>
      <c r="N9" s="27" t="inlineStr">
        <is>
          <t>https://www.insidermonkey.com/blog/enel-chile-s-a-nyseenic-q1-2026-earnings-call-transcript-1753951/</t>
        </is>
      </c>
      <c r="O9" s="25" t="inlineStr">
        <is>
          <t>Enel Chile S.A. (NYSE:ENIC; intermediate parent of the listed entity Enel Generacion Chile) Q1 2026 earnings call, management remarks on standalone battery storage (BESS) capital allocation. Stated at the Enel Chile parent level, not at the listed entity Enel Generacion Chile. Verbatim wording corroborated identically across multiple independent transcript aggregators (Insider Monkey, Investing.com, Yahoo Finance highlights, AlphaSpread, Benzinga). The originally cited Seeking Alpha URL (article/4897916) could not be located in searches and is replaced here with a corroborated transcript page. All transcript pages and the official Enel Chile webcast return 403 at the agent proxy gateway (CONNECT policy denial), so the primary webcast/official transcript was not directly read.</t>
        </is>
      </c>
    </row>
    <row r="10" ht="150" customHeight="1">
      <c r="A10" s="24" t="inlineStr">
        <is>
          <t>B · Investment hurdle (spread / target IRR)</t>
        </is>
      </c>
      <c r="B10" s="25" t="inlineStr">
        <is>
          <t>Enel Generación Chile</t>
        </is>
      </c>
      <c r="C10" s="24" t="inlineStr">
        <is>
          <t>ENELGXCH CI</t>
        </is>
      </c>
      <c r="D10" s="25" t="inlineStr">
        <is>
          <t>renewables (group Renewables business under Enel SpA plan)</t>
        </is>
      </c>
      <c r="E10" s="25" t="inlineStr">
        <is>
          <t>spread over WACC</t>
        </is>
      </c>
      <c r="F10" s="24" t="inlineStr">
        <is>
          <t>~300 bps average IRR-WACC spread targeted for new (renewables) projects</t>
        </is>
      </c>
      <c r="G10" s="26" t="inlineStr">
        <is>
          <t>No</t>
        </is>
      </c>
      <c r="H10" s="25" t="inlineStr">
        <is>
          <t>not stated (average spread of project IRR over WACC; pre/post-tax and real/nominal not specified; group reports in EUR). Applies to the group Renewables business, not gas/thermal.</t>
        </is>
      </c>
      <c r="I10" s="25" t="inlineStr">
        <is>
          <t>Capital Markets Day, 19-22 Nov 2024 (2025-2027 Strategic Plan)</t>
        </is>
      </c>
      <c r="J10" s="25" t="inlineStr">
        <is>
          <t>investor presentation</t>
        </is>
      </c>
      <c r="K10" s="26" t="inlineStr">
        <is>
          <t>Official</t>
        </is>
      </c>
      <c r="L10" s="26" t="inlineStr">
        <is>
          <t>Medium</t>
        </is>
      </c>
      <c r="M10" s="25" t="inlineStr">
        <is>
          <t>As reported from Enel's official 2025-2027 Strategic Plan materials: the group Renewables business targets an approximately "300 bps average spread between IRR and WACC" for new projects (Enel Americas states the same ~300 bps average IRR-WACC spread for new generation projects). Exact slide text could not be independently read due to proxy egress blocking the enel.com PDF (403).</t>
        </is>
      </c>
      <c r="N10" s="27" t="inlineStr">
        <is>
          <t>https://www.enel.com/content/dam/enel-com/documenti/investitori/informazioni-finanziarie/2024/2025-2027-strategic-plan.pdf</t>
        </is>
      </c>
      <c r="O10" s="25" t="inlineStr">
        <is>
          <t>Enel SpA (ultimate controlling group) 2025-2027 Strategic Plan / Capital Markets Day presentation. CORRECTION vs draft: the ~300 bps average IRR-WACC spread is specifically the target for the group RENEWABLES business (mirrored in Enel Americas' 2025-2027 generation plan), NOT a blanket group-wide-across-all-businesses metric as the draft implied by labeling it 'group-level'. Stated at Enel SpA group level for the renewables/generation business, not at Enel Chile or Enel Generacion Chile. The official enel.com PDF and enelamericas.com annexes return 403 at the proxy gateway; the figure and its renewables attribution are corroborated across multiple independent summaries of the official plan.</t>
        </is>
      </c>
    </row>
    <row r="11" ht="150" customHeight="1">
      <c r="A11" s="24" t="inlineStr">
        <is>
          <t>B · Investment hurdle (spread / target IRR)</t>
        </is>
      </c>
      <c r="B11" s="25" t="inlineStr">
        <is>
          <t>Engie Brasil / ENGIE</t>
        </is>
      </c>
      <c r="C11" s="24" t="inlineStr">
        <is>
          <t>EGIE3 BZ</t>
        </is>
      </c>
      <c r="D11" s="25" t="inlineStr">
        <is>
          <t>group-level</t>
        </is>
      </c>
      <c r="E11" s="25" t="inlineStr">
        <is>
          <t>spread over WACC (IRR minus WACC)</t>
        </is>
      </c>
      <c r="F11" s="24" t="inlineStr">
        <is>
          <t>IRR minus WACC spread of at least 150-250 bps (reference ~200 bps), accompanied by an NPV/Capex value-creation criterion of ~20-25%</t>
        </is>
      </c>
      <c r="G11" s="26" t="inlineStr">
        <is>
          <t>No</t>
        </is>
      </c>
      <c r="H11" s="25" t="inlineStr">
        <is>
          <t>Not stated precisely. ENGIE group applies technology- and contract-differentiated WACCs; the portfolio is designed to deliver group WACC + ~200 bps. Pre/post-tax, real vs nominal and currency not specified by the company. NOTE: this is a controlling-parent (ENGIE SA, Paris-listed) group framework, NOT a figure stated by the Brazilian listed entity Engie Brasil Energia (EGIE3).</t>
        </is>
      </c>
      <c r="I11" s="25" t="inlineStr">
        <is>
          <t>Reiterated at ENGIE group H1 2025 results (1 August 2025); framework set out earlier at ENGIE Capital Markets Day / investor updates (2023-2025)</t>
        </is>
      </c>
      <c r="J11" s="25" t="inlineStr">
        <is>
          <t>earnings call transcript / investor presentation (group-level, controlling parent ENGIE SA)</t>
        </is>
      </c>
      <c r="K11" s="26" t="inlineStr">
        <is>
          <t>Official</t>
        </is>
      </c>
      <c r="L11" s="26" t="inlineStr">
        <is>
          <t>Medium</t>
        </is>
      </c>
      <c r="M11" s="25" t="inlineStr">
        <is>
          <t>Corroborated across multiple WebSearch results of official ENGIE documents (primary PDF could not be opened in this environment due to an egress-policy 403): ENGIE requires investments to match or exceed an IRR minus WACC spread of at least 150 to 250 basis points (reference ~200 bps), together with an NPV/Capex ratio of roughly 20-25%. [English; corroborated by search snippets of the ENGIE H1 2025 transcript and fact sheets, but not a page-level verified verbatim quote]</t>
        </is>
      </c>
      <c r="N11" s="27" t="inlineStr">
        <is>
          <t>https://www.engie.com/sites/default/files/assets/documents/2025-08/ENGIE%20H1%202025%20-%20Transcript.pdf</t>
        </is>
      </c>
      <c r="O11" s="25" t="inlineStr">
        <is>
          <t>ENGIE SA (Paris-listed controlling parent) H1 2025 results transcript, capital-allocation/investment-discipline section. Canonical IR path (dated 2025-08) verified as a live official URL via WebSearch; an equivalent mirror exists at https://www.engie.com/app/uploads/2026/03/ENGIE-H1-2025-Transcript.pdf (the URL cited in the original draft). The 150-250 bps IRR-WACC spread plus ~20-25% NPV/Capex criterion is corroborated by multiple official ENGIE documents (H1 2025 transcript and fact sheets). GROUP LEVEL, not the Brazilian listed entity. Page-level verbatim could not be extracted (see verification_notes: WebFetch blocked by egress policy).</t>
        </is>
      </c>
    </row>
    <row r="12" ht="150" customHeight="1">
      <c r="A12" s="24" t="inlineStr">
        <is>
          <t>B · Investment hurdle (spread / target IRR)</t>
        </is>
      </c>
      <c r="B12" s="25" t="inlineStr">
        <is>
          <t>Celsia</t>
        </is>
      </c>
      <c r="C12" s="24" t="inlineStr">
        <is>
          <t>CELSIA CB</t>
        </is>
      </c>
      <c r="D12" s="25" t="inlineStr">
        <is>
          <t>company-wide</t>
        </is>
      </c>
      <c r="E12" s="25" t="inlineStr">
        <is>
          <t>ROIC/ROCE target expressed as a spread over WACC</t>
        </is>
      </c>
      <c r="F12" s="24" t="inlineStr">
        <is>
          <t>&gt;200 bps above WACC (target ROCE = WACC + &gt;200 bps)</t>
        </is>
      </c>
      <c r="G12" s="26" t="inlineStr">
        <is>
          <t>No</t>
        </is>
      </c>
      <c r="H12" s="25" t="inlineStr">
        <is>
          <t>not stated (pre/post-tax and real/nominal not specified; ROCE/WACC in COP implied)</t>
        </is>
      </c>
      <c r="I12" s="25" t="inlineStr">
        <is>
          <t>Investor-relations page current as of 2025-2026 (objective reiterated in 2024 results and 2025 shareholder-assembly / EnergizarC communications)</t>
        </is>
      </c>
      <c r="J12" s="25" t="inlineStr">
        <is>
          <t>website</t>
        </is>
      </c>
      <c r="K12" s="26" t="inlineStr">
        <is>
          <t>Official</t>
        </is>
      </c>
      <c r="L12" s="26" t="inlineStr">
        <is>
          <t>Medium</t>
        </is>
      </c>
      <c r="M12" s="25" t="inlineStr">
        <is>
          <t>Celsia tiene como meta, en la búsqueda constante de maximizar el ROCE (retorno sobre el capital invertido), estar por encima de 200 puntos básicos del WACC (costo promedio ponderado del capital). / EN: Celsia's goal, in its constant pursuit of maximizing ROCE (return on invested capital), is to be more than 200 basis points above the WACC (weighted average cost of capital).</t>
        </is>
      </c>
      <c r="N12" s="27" t="inlineStr">
        <is>
          <t>https://www.celsia.com/es/inversionistas/celsia/por-que-invertir-en-celsia/</t>
        </is>
      </c>
      <c r="O12" s="25" t="inlineStr">
        <is>
          <t>Celsia investor-relations page '¿Por qué invertir en Celsia?'. Verbatim quote confirmed via WebSearch snippet of this exact official URL; direct WebFetch/curl blocked by organization egress policy (proxy CONNECT 403 on www.celsia.com), so page/section could not be cited from the rendered document.</t>
        </is>
      </c>
    </row>
    <row r="13" ht="150" customHeight="1">
      <c r="A13" s="24" t="inlineStr">
        <is>
          <t>B · Investment hurdle (spread / target IRR)</t>
        </is>
      </c>
      <c r="B13" s="25" t="inlineStr">
        <is>
          <t>Celsia</t>
        </is>
      </c>
      <c r="C13" s="24" t="inlineStr">
        <is>
          <t>CELSIA CB</t>
        </is>
      </c>
      <c r="D13" s="25" t="inlineStr">
        <is>
          <t>Energy Services segment ('Servicios de energía') — not company-wide</t>
        </is>
      </c>
      <c r="E13" s="25" t="inlineStr">
        <is>
          <t>ROIC minus WACC spread target (segment)</t>
        </is>
      </c>
      <c r="F13" s="24" t="inlineStr">
        <is>
          <t>&gt; 118 bps ROIC-WACC spread (target for the Energy Services / 'Servicios de energía' business)</t>
        </is>
      </c>
      <c r="G13" s="26" t="inlineStr">
        <is>
          <t>No</t>
        </is>
      </c>
      <c r="H13" s="25" t="inlineStr">
        <is>
          <t>not stated</t>
        </is>
      </c>
      <c r="I13" s="25" t="inlineStr">
        <is>
          <t>2024 results / 2025 shareholder assembly (EnergizarC value-creation program)</t>
        </is>
      </c>
      <c r="J13" s="25" t="inlineStr">
        <is>
          <t>press release</t>
        </is>
      </c>
      <c r="K13" s="26" t="inlineStr">
        <is>
          <t>Official</t>
        </is>
      </c>
      <c r="L13" s="26" t="inlineStr">
        <is>
          <t>Medium</t>
        </is>
      </c>
      <c r="M13" s="25" t="inlineStr">
        <is>
          <t>Buscan la expansión del spread entre ROIC vs. WACC para que sea mayor a 118 puntos básicos en el negocio de Servicios de energía. / EN: They seek to expand the ROIC vs. WACC spread to be greater than 118 basis points in the Energy Services business.</t>
        </is>
      </c>
      <c r="N13" s="27" t="inlineStr">
        <is>
          <t>https://www.celsia.com/es/noticias/en-la-asamblea-celsia-profundizo-sobre-su-valor-fundamental-y-resalto-que-el-retorno-total-al-accionista-tsr-en-el-2024-fue-del-362/</t>
        </is>
      </c>
      <c r="O13" s="25" t="inlineStr">
        <is>
          <t>Celsia press release on the 2024 shareholder assembly / EnergizarC program; segment-level target for the 'Servicios de energía' (Energy Services) business. Confirmed via WebSearch snippet of this exact official URL; direct WebFetch blocked by organization egress policy (proxy CONNECT 403 on www.celsia.com).</t>
        </is>
      </c>
    </row>
    <row r="14" ht="150" customHeight="1">
      <c r="A14" s="24" t="inlineStr">
        <is>
          <t>B · Investment hurdle (spread / target IRR)</t>
        </is>
      </c>
      <c r="B14" s="25" t="inlineStr">
        <is>
          <t>AES Brasil / AES Corp</t>
        </is>
      </c>
      <c r="C14" s="24" t="inlineStr">
        <is>
          <t>AESO3 BZ</t>
        </is>
      </c>
      <c r="D14" s="25" t="inlineStr">
        <is>
          <t>group-level</t>
        </is>
      </c>
      <c r="E14" s="25" t="inlineStr">
        <is>
          <t>target return range (unlevered contracted return / ROIC-type, i.e. project IRR)</t>
        </is>
      </c>
      <c r="F14" s="24" t="inlineStr">
        <is>
          <t>12% to 15% (data-center PPAs at the 'higher end' of the range; management framed development toward the upper half)</t>
        </is>
      </c>
      <c r="G14" s="26" t="inlineStr">
        <is>
          <t>No</t>
        </is>
      </c>
      <c r="H14" s="25" t="inlineStr">
        <is>
          <t>Unlevered / contracted-return basis (multiple independent transcript summaries describe this as AES's '12%-15% unlevered returns guidance range' for renewable/PPA investments; analyst framed the question as 'contracted ROIC or unlevered returns'). Currency USD (parent group, AES Corporation). Real vs nominal: not stated. Pre-tax vs post-tax: not stated.</t>
        </is>
      </c>
      <c r="I14" s="25" t="inlineStr">
        <is>
          <t>AES Corporation Q3 2025 earnings call, 5 November 2025</t>
        </is>
      </c>
      <c r="J14" s="25" t="inlineStr">
        <is>
          <t>earnings call transcript</t>
        </is>
      </c>
      <c r="K14" s="26" t="inlineStr">
        <is>
          <t>Official</t>
        </is>
      </c>
      <c r="L14" s="26" t="inlineStr">
        <is>
          <t>Medium</t>
        </is>
      </c>
      <c r="M14" s="25" t="inlineStr">
        <is>
          <t>Corroborated across independent transcript summaries: on returns for recent data-center PPAs, 'The returns on these tend to be at the higher end of our 12% to 15% [range].' Characterized elsewhere as AES's '12%-15% unlevered returns guidance range' for renewable-energy investments/PPAs. English original. (Exact verbatim sentence not read from a primary page — all transcript hosts 403-blocked; wording reconstructed from multiple concordant search summaries.)</t>
        </is>
      </c>
      <c r="N14" s="27" t="inlineStr">
        <is>
          <t>https://www.insidermonkey.com/blog/the-aes-corporation-nyseaes-q3-2025-earnings-call-transcript-1641160/</t>
        </is>
      </c>
      <c r="O14" s="25" t="inlineStr">
        <is>
          <t>AES Corporation (parent) Q3 2025 earnings call, 5 Nov 2025 — Q&amp;A. Analyst Dimple Gosai (Bank of America) asked how the contracted ROIC / unlevered returns on recent data-center PPAs compared to the legacy book; CEO Andres Gluski answered that returns tend to be at the higher end of the 12%-15% range. Official event is the AES Q3 2025 earnings webcast (aes.com/investors). VERIFICATION: the cited insidermonkey URL and every alternate full-transcript host (theglobeandmail.com, fool.com, seekingalpha.com, investing.com, aol.com, finance.yahoo.com, alphaspread.com, tipranks.com) returned HTTP 403 proxy/policy denials on direct WebFetch, so wording could not be read from the primary page. The figure and framing were corroborated across three independent WebSearch result summaries.</t>
        </is>
      </c>
    </row>
    <row r="15" ht="150" customHeight="1">
      <c r="A15" s="28" t="inlineStr">
        <is>
          <t>C · Stated / regulatory WACC benchmark</t>
        </is>
      </c>
      <c r="B15" s="29" t="inlineStr">
        <is>
          <t>Celsia</t>
        </is>
      </c>
      <c r="C15" s="28" t="inlineStr">
        <is>
          <t>CELSIA CB</t>
        </is>
      </c>
      <c r="D15" s="29" t="inlineStr">
        <is>
          <t>company-wide</t>
        </is>
      </c>
      <c r="E15" s="29" t="inlineStr">
        <is>
          <t>WACC (stated actual) with ROCE</t>
        </is>
      </c>
      <c r="F15" s="28" t="inlineStr">
        <is>
          <t>WACC 13.02%; ROCE 14.33% (positive differential of 131 bps), FY2022</t>
        </is>
      </c>
      <c r="G15" s="30" t="inlineStr">
        <is>
          <t>No</t>
        </is>
      </c>
      <c r="H15" s="29" t="inlineStr">
        <is>
          <t>not stated (COP, nominal implied; pre/post-tax not specified)</t>
        </is>
      </c>
      <c r="I15" s="29" t="inlineStr">
        <is>
          <t>FY2022 results (reported early 2023)</t>
        </is>
      </c>
      <c r="J15" s="29" t="inlineStr">
        <is>
          <t>press release</t>
        </is>
      </c>
      <c r="K15" s="30" t="inlineStr">
        <is>
          <t>Official</t>
        </is>
      </c>
      <c r="L15" s="30" t="inlineStr">
        <is>
          <t>Medium</t>
        </is>
      </c>
      <c r="M15" s="29" t="inlineStr">
        <is>
          <t>Al cierre de 2022, y a pesar del fuerte incremento de las tasas de interés, Celsia mantuvo un diferencial positivo de 131 puntos básicos entre el ROCE de 14,33% frente a un WACC de 13,02%. / EN: At year-end 2022, and despite the sharp rise in interest rates, Celsia maintained a positive differential of 131 basis points between a ROCE of 14.33% and a WACC of 13.02%.</t>
        </is>
      </c>
      <c r="N15" s="31" t="inlineStr">
        <is>
          <t>https://www.celsia.com/es/noticias/resultados-de-celsia-en-2022/</t>
        </is>
      </c>
      <c r="O15" s="29" t="inlineStr">
        <is>
          <t>Celsia FY2022 results press release ('Resultados de Celsia en 2022'). Figures (ROCE 14.33% vs WACC 13.02%, +131 bps) confirmed via WebSearch snippet of this exact official URL; direct WebFetch blocked by organization egress policy (proxy CONNECT 403 on www.celsia.com).</t>
        </is>
      </c>
    </row>
    <row r="16" ht="150" customHeight="1">
      <c r="A16" s="28" t="inlineStr">
        <is>
          <t>C · Stated / regulatory WACC benchmark</t>
        </is>
      </c>
      <c r="B16" s="29" t="inlineStr">
        <is>
          <t>AXIA (ex-Eletrobras)</t>
        </is>
      </c>
      <c r="C16" s="28" t="inlineStr">
        <is>
          <t>AXIA3 BZ</t>
        </is>
      </c>
      <c r="D16" s="29" t="inlineStr">
        <is>
          <t>transmission</t>
        </is>
      </c>
      <c r="E16" s="29" t="inlineStr">
        <is>
          <t>regulated (RAB) WACC</t>
        </is>
      </c>
      <c r="F16" s="28" t="inlineStr">
        <is>
          <t>7.89% real, after taxes (2025 ANEEL transmission/generation regulatory cycle); ~12.12% pre-tax real (i.e., IPCA + ~12.12%)</t>
        </is>
      </c>
      <c r="G16" s="30" t="inlineStr">
        <is>
          <t>No</t>
        </is>
      </c>
      <c r="H16" s="29" t="inlineStr">
        <is>
          <t>post-tax AND real (regulatory WACC as defined by ANEEL); currency BRL; applied over an IPCA-indexed regulatory remuneration base (RAB), so effectively IPCA + ~12.12% on a pre-tax basis. Now confirmed as a REAL after-tax rate (the draft had left real/nominal ambiguous).</t>
        </is>
      </c>
      <c r="I16" s="29" t="inlineStr">
        <is>
          <t>ANEEL 2025 tariff cycle (rate in effect from 1 March 2025; superseded by 8.00% from 1 March 2026 per ANEEL's March 2026 WACC update)</t>
        </is>
      </c>
      <c r="J16" s="29" t="inlineStr">
        <is>
          <t>regulatory filing</t>
        </is>
      </c>
      <c r="K16" s="30" t="inlineStr">
        <is>
          <t>Third-party</t>
        </is>
      </c>
      <c r="L16" s="30" t="inlineStr">
        <is>
          <t>Medium</t>
        </is>
      </c>
      <c r="M16" s="29" t="inlineStr">
        <is>
          <t>PT (paraphrase of ANEEL communication, via poder360/cenarioenergia): 'A taxa regulatoria real apos impostos foi definida em 8,10% para o segmento de distribuicao e 8,00% para transmissao e geracao. Antes dos impostos, os percentuais chegam a 12,28% e 12,11%, respectivamente. Em relacao ao ciclo anterior, houve aumento de 0,07 ponto percentual no WACC aplicado a distribuicao e de 0,11 ponto percentual para transmissao e geracao.' EN: 'The real after-tax regulatory rate was set at 8.10% for distribution and 8.00% for transmission and generation. Pre-tax, the percentages reach 12.28% and 12.11% respectively. Versus the previous cycle, there was an increase of 0.07pp for distribution and 0.11pp for transmission and generation.' [Implies prior/2025 transmission WACC = 8.00% - 0.11pp = 7.89% real after-tax.] Note: I could not open ANEEL's page directly (HTTP 403 via WebFetch); text is from WebSearch summaries of the official ANEEL release and Brazilian energy press.</t>
        </is>
      </c>
      <c r="N16" s="31" t="inlineStr">
        <is>
          <t>https://www.gov.br/aneel/pt-br/assuntos/noticias/2026/aneel-atualiza-taxa-regulatoria-de-remuneracao-do-capital-wacc-regulatorio</t>
        </is>
      </c>
      <c r="O16" s="29" t="inlineStr">
        <is>
          <t>Official ANEEL (Brazilian electricity regulator) communication on the regulatory WACC. The March 2026 update sets transmission/generation regulatory WACC at 8.00% real after-tax (12.11% pre-tax), described as a +0.11 percentage-point increase over the prior (2025) cycle, which therefore was 7.89% real after-tax. Sector-wide value applying to all Brazilian transmission concessionaires including AXIA/Eletrobras transmission and Law 12.783/13 quota-regime assets. Corroborated by poder360.com.br and cenarioenergia.com.br coverage. NOTE: this is a sector-wide REGULATORY WACC set by the regulator, not an internal investment hurdle chosen by the company; included as the benchmark ANEEL WACC that AXIA's own materials reference (AXIA Q4 2025 investor slides describe its regulated transmission WACC as 'IPCA + 12.12%').</t>
        </is>
      </c>
    </row>
    <row r="17" ht="150" customHeight="1">
      <c r="A17" s="28" t="inlineStr">
        <is>
          <t>C · Stated / regulatory WACC benchmark</t>
        </is>
      </c>
      <c r="B17" s="29" t="inlineStr">
        <is>
          <t>AXIA (ex-Eletrobras)</t>
        </is>
      </c>
      <c r="C17" s="28" t="inlineStr">
        <is>
          <t>AXIA3 BZ</t>
        </is>
      </c>
      <c r="D17" s="29" t="inlineStr">
        <is>
          <t>transmission</t>
        </is>
      </c>
      <c r="E17" s="29" t="inlineStr">
        <is>
          <t>regulated (RAB) return / WACC</t>
        </is>
      </c>
      <c r="F17" s="28" t="inlineStr">
        <is>
          <t>ANEEL-defined regulatory WACC for Law 12.783/13 assets (transmission, quota-regime hydro, Eletronuclear); no company-specific percentage stated in the Eletrobras SEC disclosure itself</t>
        </is>
      </c>
      <c r="G17" s="30" t="inlineStr">
        <is>
          <t>No</t>
        </is>
      </c>
      <c r="H17" s="29" t="inlineStr">
        <is>
          <t>ANEEL regulatory WACC (real, after taxes per ANEEL methodology); the Eletrobras SEC filing text located did not itself restate pre/post-tax, real/nominal, or currency. Methodology set by ANEEL Resolution 874/2020 (WACC methodology) / REN 918/2021 (calculation procedure for Law 12.783/13 concessions).</t>
        </is>
      </c>
      <c r="I17" s="29" t="inlineStr">
        <is>
          <t>recurring disclosure in Eletrobras SEC filings (Form 20-F and quarterly 6-K market-letter annexes, 2021-2022)</t>
        </is>
      </c>
      <c r="J17" s="29" t="inlineStr">
        <is>
          <t>regulatory filing</t>
        </is>
      </c>
      <c r="K17" s="30" t="inlineStr">
        <is>
          <t>Official</t>
        </is>
      </c>
      <c r="L17" s="30" t="inlineStr">
        <is>
          <t>Low</t>
        </is>
      </c>
      <c r="M17" s="29" t="inlineStr">
        <is>
          <t>Reconstructed (NOT independently verified at the SEC page, which returned 403): 'Compensation for transmission concessions is determined through WACC, the weighted average cost of capital, defined by ANEEL... Resolution No. 874/2020 established the WACC to be applied to the investment for (i) transmission assets, hydroelectric plants subject to the physical guarantee and power quota regime (Law No. 12,783/13), and (ii) Eletronuclear.'</t>
        </is>
      </c>
      <c r="N17" s="31" t="inlineStr">
        <is>
          <t>https://www.sec.gov/Archives/edgar/data/1439124/000129281421001692/ebr20210422_6k.htm</t>
        </is>
      </c>
      <c r="O17" s="29" t="inlineStr">
        <is>
          <t>Eletrobras Form 6-K market-letter annex / Form 20-F, transmission concession compensation and regulatory framework section. COULD NOT be opened for page-level verification: SEC.gov returned HTTP 403 to WebFetch on every attempt. The substance is corroborated: ANEEL Resolution 874/2020 approving the updated WACC methodology (2020) and REN 918/2021 defining WACC for Law 12.783/13 transmission and quota-regime generation (incl. Eletronuclear) are confirmed via ANEEL/press sources. This is a regulator-set RAB WACC, not an internal company hurdle, and no specific percentage appears in the company disclosure located.</t>
        </is>
      </c>
    </row>
    <row r="18" ht="150" customHeight="1">
      <c r="A18" s="32" t="inlineStr">
        <is>
          <t>D · Third-party estimate (not company-stated)</t>
        </is>
      </c>
      <c r="B18" s="33" t="inlineStr">
        <is>
          <t>Engie Brasil / ENGIE</t>
        </is>
      </c>
      <c r="C18" s="32" t="inlineStr">
        <is>
          <t>EGIE3 BZ</t>
        </is>
      </c>
      <c r="D18" s="33" t="inlineStr">
        <is>
          <t>transmission</t>
        </is>
      </c>
      <c r="E18" s="33" t="inlineStr">
        <is>
          <t>IRR (real, project-level, third-party estimate)</t>
        </is>
      </c>
      <c r="F18" s="32" t="inlineStr">
        <is>
          <t>~7-8% real IRR estimated for ENGIE's winning lots in ANEEL Transmission Auction 01/2026 (analyst estimate); described by analysts as modest / below the sector historical average</t>
        </is>
      </c>
      <c r="G18" s="34" t="inlineStr">
        <is>
          <t>No</t>
        </is>
      </c>
      <c r="H18" s="33" t="inlineStr">
        <is>
          <t>Real; project/asset-level IRR; pre/post-tax not stated; BRL. This is an analyst-estimated achieved return on new regulated (transmission) capex, NOT a company-stated hurdle. Deságio médio (average discount) on the lots reported at ~53%.</t>
        </is>
      </c>
      <c r="I18" s="33" t="inlineStr">
        <is>
          <t>March 2026 (post-auction analyst commentary)</t>
        </is>
      </c>
      <c r="J18" s="33" t="inlineStr">
        <is>
          <t>third-party analyst/press (Guia do Investidor; also InfoMoney, Acionista, ADVFN)</t>
        </is>
      </c>
      <c r="K18" s="34" t="inlineStr">
        <is>
          <t>Third-party</t>
        </is>
      </c>
      <c r="L18" s="34" t="inlineStr">
        <is>
          <t>Low</t>
        </is>
      </c>
      <c r="M18" s="33" t="inlineStr">
        <is>
          <t>Per analyst commentary summarized in Brazilian press (WebSearch): 'os projetos podem entregar TIR real entre 7% e 8%, o que e considerado modesto para o setor' / 'the projects may deliver a real IRR between 7% and 8%, considered modest for the sector'. [Portuguese source with English translation; third-party, paraphrased/snippet-level, not page-level verbatim]</t>
        </is>
      </c>
      <c r="N18" s="35" t="inlineStr">
        <is>
          <t>https://guiadoinvestidor.com.br/mercado/engie-egie3-leva-leilao-da-aneel-mas-retorno-decepciona-e-acende-alerta-no-mercado/</t>
        </is>
      </c>
      <c r="O18" s="33" t="inlineStr">
        <is>
          <t>Brazilian financial press reporting analyst estimates of real IRR on ENGIE's 2026 transmission auction lots (lot 2 and sub-lots 3A-3D via ENGIE Transmissao de Energia Participacoes, ~R$1.6bn capex, RAP ~R$122.7m). Third-party, not company-disclosed. Included only as a directional benchmark of the returns ENGIE is accepting on new regulated transmission capex. Article confirmed live via WebSearch (page body could not be opened via WebFetch due to egress-policy 403).</t>
        </is>
      </c>
    </row>
    <row r="19" ht="150" customHeight="1">
      <c r="A19" s="32" t="inlineStr">
        <is>
          <t>D · Third-party estimate (not company-stated)</t>
        </is>
      </c>
      <c r="B19" s="33" t="inlineStr">
        <is>
          <t>Grupo Energía Bogotá</t>
        </is>
      </c>
      <c r="C19" s="32" t="inlineStr">
        <is>
          <t>GEB CB</t>
        </is>
      </c>
      <c r="D19" s="33" t="inlineStr">
        <is>
          <t>group-level</t>
        </is>
      </c>
      <c r="E19" s="33" t="inlineStr">
        <is>
          <t>sell-side analyst valuation WACC for GEB business units (third-party, NOT company-stated)</t>
        </is>
      </c>
      <c r="F19" s="32" t="inlineStr">
        <is>
          <t>~10.3% (attributed to 2024 valuation, UNVERIFIED); ~11.3% average for 2023 (corroborated), with ~10.4% for Enel Colombia</t>
        </is>
      </c>
      <c r="G19" s="34" t="inlineStr">
        <is>
          <t>No</t>
        </is>
      </c>
      <c r="H19" s="33" t="inlineStr">
        <is>
          <t>not stated (Beta 0.55x for energy companies; gas-distribution beta reported as 0.83x for the 2023 exercise — draft's '0.7x' could not be corroborated)</t>
        </is>
      </c>
      <c r="I19" s="33" t="inlineStr">
        <is>
          <t>Davivienda Corredores 'Zoom a las Empresas – GEB' (2023 edition corroborated; 2024 edition figure of ~10.3% not independently verifiable)</t>
        </is>
      </c>
      <c r="J19" s="33" t="inlineStr">
        <is>
          <t>investor presentation</t>
        </is>
      </c>
      <c r="K19" s="34" t="inlineStr">
        <is>
          <t>Third-party</t>
        </is>
      </c>
      <c r="L19" s="34" t="inlineStr">
        <is>
          <t>Low</t>
        </is>
      </c>
      <c r="M19" s="33" t="inlineStr">
        <is>
          <t>"...un WACC promedio de 11.3% para las unidades de TGI, Cálidda, Dunas, Transmisión y Gebbras, dejando con un WACC de 10.4% a Enel Colombia" with "...una Beta (u) de 0.55x para compañías de energía y 0.83x para compañías de distribución de gas" ("...an average WACC of 11.3% for the TGI, Cálidda, Dunas, Transmisión and Gebbras units, leaving Enel Colombia with a WACC of 10.4%"; Beta of 0.55x for energy companies and 0.83x for gas-distribution companies). Paraphrased from Davivienda Corredores 'Zoom a las Empresas – GEB'; exact page text not directly retrievable (HTTP 403). The ~10.3%/2024 figure in the draft was not corroborated.</t>
        </is>
      </c>
      <c r="N19" s="35" t="inlineStr">
        <is>
          <t>https://libro.daviviendacorredores.com/2023/zoom-a-empresas/geb/</t>
        </is>
      </c>
      <c r="O19" s="33" t="inlineStr">
        <is>
          <t>THIRD-PARTY / SELL-SIDE ANALYST report (Davivienda Corredores), not a GEB official disclosure. Corroborated figures (via search summaries; direct fetch 403): an ~11.3% average WACC applied to TGI, Cálidda, Dunas, Transmisión and Gebbras, and ~10.4% for Enel Colombia, with a Beta of 0.55x for energy companies and 0.83x for gas-distribution companies — these appear in the 2023 exercise. The draft's specific claim of ~10.3% for 2024 (down from 11.3%) and a 0.7x gas-distribution beta could NOT be independently corroborated; both the 2023 and 2024 Davivienda pages returned HTTP 403. This is an analyst's valuation WACC, not confirmed verbatim from GEB's own Reporte Integrado or estados financieros (GEB official pages also 403).</t>
        </is>
      </c>
    </row>
    <row r="20" ht="150" customHeight="1">
      <c r="A20" s="32" t="inlineStr">
        <is>
          <t>D · Third-party estimate (not company-stated)</t>
        </is>
      </c>
      <c r="B20" s="33" t="inlineStr">
        <is>
          <t>Empresa Eléctrica Pehuenche</t>
        </is>
      </c>
      <c r="C20" s="32" t="inlineStr">
        <is>
          <t>PEHUEN CI</t>
        </is>
      </c>
      <c r="D20" s="33" t="inlineStr">
        <is>
          <t>group-level</t>
        </is>
      </c>
      <c r="E20" s="33" t="inlineStr">
        <is>
          <t>WACC (third-party computed, ultimate-parent level)</t>
        </is>
      </c>
      <c r="F20" s="32" t="inlineStr">
        <is>
          <t>~8.0-8.8% (post-tax, nominal, USD; analyst-computed)</t>
        </is>
      </c>
      <c r="G20" s="34" t="inlineStr">
        <is>
          <t>No</t>
        </is>
      </c>
      <c r="H20" s="33" t="inlineStr">
        <is>
          <t>post-tax, nominal; USD; analyst-computed (not stated by the company)</t>
        </is>
      </c>
      <c r="I20" s="33" t="inlineStr">
        <is>
          <t>as of 2026 (third-party data services)</t>
        </is>
      </c>
      <c r="J20" s="33" t="inlineStr">
        <is>
          <t>website</t>
        </is>
      </c>
      <c r="K20" s="34" t="inlineStr">
        <is>
          <t>Third-party</t>
        </is>
      </c>
      <c r="L20" s="34" t="inlineStr">
        <is>
          <t>Low</t>
        </is>
      </c>
      <c r="M20" s="33" t="inlineStr">
        <is>
          <t>GuruFocus: 'Enel Chile WACC %: 8.8%'. AlphaSpread: 'Enel Chile's current Cost of Equity is 8.85%, while its WACC stands at 8.08%; cost of debt is 6.84%.' [Third-party analyst-computed WACC, not a company-stated hurdle rate; grandparent/group level, not gas-specific.]</t>
        </is>
      </c>
      <c r="N20" s="35" t="inlineStr">
        <is>
          <t>https://www.gurufocus.com/term/wacc/NYSE:ENIC/WACC-/Enel-Chile</t>
        </is>
      </c>
      <c r="O20" s="33" t="inlineStr">
        <is>
          <t>GuruFocus / AlphaSpread WACC pages for Enel Chile SA (ENIC), the ultimate listed parent of Pehuenche via Enel Generacion Chile. GuruFocus: WACC 8.8%; AlphaSpread: WACC ~8.08%, cost of equity ~8.85%, cost of debt ~6.84%, debt weight ~38%. This is a computed figure, NOT a company-disclosed hurdle rate.</t>
        </is>
      </c>
    </row>
    <row r="22">
      <c r="A22" s="7" t="inlineStr">
        <is>
          <t>Legend</t>
        </is>
      </c>
    </row>
    <row r="23" ht="26" customHeight="1">
      <c r="A23" s="8" t="inlineStr">
        <is>
          <t>A · Gas-specific — a rate explicitly tied to gas-fired generation or gas infrastructure.</t>
        </is>
      </c>
      <c r="B23" s="36" t="n"/>
      <c r="C23" s="36" t="n"/>
      <c r="D23" s="36" t="n"/>
      <c r="E23" s="36" t="n"/>
      <c r="F23" s="36" t="n"/>
      <c r="G23" s="36" t="n"/>
      <c r="H23" s="36" t="n"/>
      <c r="I23" s="36" t="n"/>
      <c r="J23" s="36" t="n"/>
      <c r="K23" s="36" t="n"/>
      <c r="L23" s="36" t="n"/>
      <c r="M23" s="36" t="n"/>
      <c r="N23" s="36" t="n"/>
      <c r="O23" s="37" t="n"/>
    </row>
    <row r="24" ht="26" customHeight="1">
      <c r="A24" s="8" t="inlineStr">
        <is>
          <t>B · Investment hurdle — a target IRR or minimum spread over WACC the company applies to investments/PPAs (mostly renewables/portfolio-wide unless noted).</t>
        </is>
      </c>
      <c r="B24" s="36" t="n"/>
      <c r="C24" s="36" t="n"/>
      <c r="D24" s="36" t="n"/>
      <c r="E24" s="36" t="n"/>
      <c r="F24" s="36" t="n"/>
      <c r="G24" s="36" t="n"/>
      <c r="H24" s="36" t="n"/>
      <c r="I24" s="36" t="n"/>
      <c r="J24" s="36" t="n"/>
      <c r="K24" s="36" t="n"/>
      <c r="L24" s="36" t="n"/>
      <c r="M24" s="36" t="n"/>
      <c r="N24" s="36" t="n"/>
      <c r="O24" s="37" t="n"/>
    </row>
    <row r="25" ht="26" customHeight="1">
      <c r="A25" s="8" t="inlineStr">
        <is>
          <t>C · Stated / regulatory WACC — a company-stated actual WACC, or the regulator-set (RAB) WACC the company earns on regulated assets.</t>
        </is>
      </c>
      <c r="B25" s="36" t="n"/>
      <c r="C25" s="36" t="n"/>
      <c r="D25" s="36" t="n"/>
      <c r="E25" s="36" t="n"/>
      <c r="F25" s="36" t="n"/>
      <c r="G25" s="36" t="n"/>
      <c r="H25" s="36" t="n"/>
      <c r="I25" s="36" t="n"/>
      <c r="J25" s="36" t="n"/>
      <c r="K25" s="36" t="n"/>
      <c r="L25" s="36" t="n"/>
      <c r="M25" s="36" t="n"/>
      <c r="N25" s="36" t="n"/>
      <c r="O25" s="37" t="n"/>
    </row>
    <row r="26" ht="26" customHeight="1">
      <c r="A26" s="8" t="inlineStr">
        <is>
          <t>D · Third-party estimate — analyst / data-vendor computed figures; NOT company-stated. Directional context only.</t>
        </is>
      </c>
      <c r="B26" s="36" t="n"/>
      <c r="C26" s="36" t="n"/>
      <c r="D26" s="36" t="n"/>
      <c r="E26" s="36" t="n"/>
      <c r="F26" s="36" t="n"/>
      <c r="G26" s="36" t="n"/>
      <c r="H26" s="36" t="n"/>
      <c r="I26" s="36" t="n"/>
      <c r="J26" s="36" t="n"/>
      <c r="K26" s="36" t="n"/>
      <c r="L26" s="36" t="n"/>
      <c r="M26" s="36" t="n"/>
      <c r="N26" s="36" t="n"/>
      <c r="O26" s="37" t="n"/>
    </row>
    <row r="27" ht="26" customHeight="1">
      <c r="A27" s="8" t="inlineStr">
        <is>
          <t>'Official?' = from the company or its controlling parent/group; the regulatory-WACC rows are set by the regulator (ANEEL/CREG), noted in Source detail. Eneva IRR %s are read off a chart (approximate).</t>
        </is>
      </c>
      <c r="B27" s="36" t="n"/>
      <c r="C27" s="36" t="n"/>
      <c r="D27" s="36" t="n"/>
      <c r="E27" s="36" t="n"/>
      <c r="F27" s="36" t="n"/>
      <c r="G27" s="36" t="n"/>
      <c r="H27" s="36" t="n"/>
      <c r="I27" s="36" t="n"/>
      <c r="J27" s="36" t="n"/>
      <c r="K27" s="36" t="n"/>
      <c r="L27" s="36" t="n"/>
      <c r="M27" s="36" t="n"/>
      <c r="N27" s="36" t="n"/>
      <c r="O27" s="37" t="n"/>
    </row>
  </sheetData>
  <mergeCells count="7">
    <mergeCell ref="A25:O25"/>
    <mergeCell ref="A26:O26"/>
    <mergeCell ref="A24:O24"/>
    <mergeCell ref="A2:O2"/>
    <mergeCell ref="A1:O1"/>
    <mergeCell ref="A23:O23"/>
    <mergeCell ref="A27:O27"/>
  </mergeCells>
  <hyperlinks>
    <hyperlink xmlns:r="http://schemas.openxmlformats.org/officeDocument/2006/relationships" ref="N4" r:id="rId1"/>
    <hyperlink xmlns:r="http://schemas.openxmlformats.org/officeDocument/2006/relationships" ref="N5" r:id="rId2"/>
    <hyperlink xmlns:r="http://schemas.openxmlformats.org/officeDocument/2006/relationships" ref="N6" r:id="rId3"/>
    <hyperlink xmlns:r="http://schemas.openxmlformats.org/officeDocument/2006/relationships" ref="N7" r:id="rId4"/>
    <hyperlink xmlns:r="http://schemas.openxmlformats.org/officeDocument/2006/relationships" ref="N8" r:id="rId5"/>
    <hyperlink xmlns:r="http://schemas.openxmlformats.org/officeDocument/2006/relationships" ref="N9" r:id="rId6"/>
    <hyperlink xmlns:r="http://schemas.openxmlformats.org/officeDocument/2006/relationships" ref="N10" r:id="rId7"/>
    <hyperlink xmlns:r="http://schemas.openxmlformats.org/officeDocument/2006/relationships" ref="N11" r:id="rId8"/>
    <hyperlink xmlns:r="http://schemas.openxmlformats.org/officeDocument/2006/relationships" ref="N12" r:id="rId9"/>
    <hyperlink xmlns:r="http://schemas.openxmlformats.org/officeDocument/2006/relationships" ref="N13" r:id="rId10"/>
    <hyperlink xmlns:r="http://schemas.openxmlformats.org/officeDocument/2006/relationships" ref="N14" r:id="rId11"/>
    <hyperlink xmlns:r="http://schemas.openxmlformats.org/officeDocument/2006/relationships" ref="N15" r:id="rId12"/>
    <hyperlink xmlns:r="http://schemas.openxmlformats.org/officeDocument/2006/relationships" ref="N16" r:id="rId13"/>
    <hyperlink xmlns:r="http://schemas.openxmlformats.org/officeDocument/2006/relationships" ref="N17" r:id="rId14"/>
    <hyperlink xmlns:r="http://schemas.openxmlformats.org/officeDocument/2006/relationships" ref="N18" r:id="rId15"/>
    <hyperlink xmlns:r="http://schemas.openxmlformats.org/officeDocument/2006/relationships" ref="N19" r:id="rId16"/>
    <hyperlink xmlns:r="http://schemas.openxmlformats.org/officeDocument/2006/relationships" ref="N20"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34" customWidth="1" min="1" max="1"/>
    <col width="12" customWidth="1" min="2" max="2"/>
    <col width="18" customWidth="1" min="3" max="3"/>
    <col width="16" customWidth="1" min="4" max="4"/>
    <col width="16" customWidth="1" min="5" max="5"/>
    <col width="20" customWidth="1" min="6" max="6"/>
    <col width="52" customWidth="1" min="7" max="7"/>
  </cols>
  <sheetData>
    <row r="1" ht="22" customHeight="1">
      <c r="A1" s="19" t="inlineStr">
        <is>
          <t>Eneva (ENEV3 BZ) — project-level real IRRs, from Corporate Presentation April 2026, slide 13</t>
        </is>
      </c>
    </row>
    <row r="2" ht="74" customHeight="1">
      <c r="A2" s="2" t="inlineStr">
        <is>
          <t>Source: Eneva Corporate Presentation, April 2026, slide 13 ('…With Capital Allocations with Sound Returns…'), provided by user (official deck; api.mziq.com blocked in-environment). Metric = real IRR (leveraged unless noted). IRR values are APPROXIMATE — read off the chart against the 0–30% axis; the deck prints no numeric IRR table. Project leverage (% of capex) and average debt cost (IPCA+) ARE printed on the slide. Returns are presented as a spread over the NTN-b 2040 (IPCA-linked Treasury = real risk-free rate, ~6–9% real over the period). Official IR location: https://ri.eneva.com.br/en/financial-information/presentations-and-conference-calls/</t>
        </is>
      </c>
    </row>
    <row r="3">
      <c r="A3" s="40" t="inlineStr">
        <is>
          <t>https://ri.eneva.com.br/en/financial-information/presentations-and-conference-calls/</t>
        </is>
      </c>
    </row>
    <row r="4" ht="30" customHeight="1">
      <c r="A4" s="6" t="inlineStr">
        <is>
          <t>Project</t>
        </is>
      </c>
      <c r="B4" s="6" t="inlineStr">
        <is>
          <t>Vintage</t>
        </is>
      </c>
      <c r="C4" s="6" t="inlineStr">
        <is>
          <t>Real IRR (approx.)</t>
        </is>
      </c>
      <c r="D4" s="6" t="inlineStr">
        <is>
          <t>Project leverage (% capex)</t>
        </is>
      </c>
      <c r="E4" s="6" t="inlineStr">
        <is>
          <t>Avg debt cost</t>
        </is>
      </c>
      <c r="F4" s="6" t="inlineStr">
        <is>
          <t>IRR basis</t>
        </is>
      </c>
      <c r="G4" s="6" t="inlineStr">
        <is>
          <t>Notes</t>
        </is>
      </c>
    </row>
    <row r="5" ht="30" customHeight="1">
      <c r="A5" s="7" t="inlineStr">
        <is>
          <t>Parnaíba V</t>
        </is>
      </c>
      <c r="B5" s="41" t="inlineStr">
        <is>
          <t>Dec-18</t>
        </is>
      </c>
      <c r="C5" s="42" t="inlineStr">
        <is>
          <t>~20%</t>
        </is>
      </c>
      <c r="D5" s="41" t="inlineStr">
        <is>
          <t>56%</t>
        </is>
      </c>
      <c r="E5" s="41" t="inlineStr">
        <is>
          <t>IPCA + 3.1%</t>
        </is>
      </c>
      <c r="F5" s="41" t="inlineStr">
        <is>
          <t>Leveraged</t>
        </is>
      </c>
      <c r="G5" s="8" t="inlineStr">
        <is>
          <t>Gas-to-power thermal; Capex R$1.5bn</t>
        </is>
      </c>
    </row>
    <row r="6" ht="30" customHeight="1">
      <c r="A6" s="38" t="inlineStr">
        <is>
          <t>Azulão-Jaguatirica (greenfield)</t>
        </is>
      </c>
      <c r="B6" s="43" t="inlineStr">
        <is>
          <t>2019</t>
        </is>
      </c>
      <c r="C6" s="44" t="inlineStr">
        <is>
          <t>~11%</t>
        </is>
      </c>
      <c r="D6" s="43" t="inlineStr">
        <is>
          <t>59%</t>
        </is>
      </c>
      <c r="E6" s="43" t="inlineStr">
        <is>
          <t>IPCA + 3.3%</t>
        </is>
      </c>
      <c r="F6" s="43" t="inlineStr">
        <is>
          <t>Leveraged</t>
        </is>
      </c>
      <c r="G6" s="39" t="inlineStr">
        <is>
          <t>G2P greenfield (isolated system); Capex R$2.2bn</t>
        </is>
      </c>
    </row>
    <row r="7" ht="30" customHeight="1">
      <c r="A7" s="7" t="inlineStr">
        <is>
          <t>Parnaíba VI</t>
        </is>
      </c>
      <c r="B7" s="41" t="inlineStr">
        <is>
          <t>Dec-19</t>
        </is>
      </c>
      <c r="C7" s="42" t="inlineStr">
        <is>
          <t>~14%</t>
        </is>
      </c>
      <c r="D7" s="41" t="inlineStr">
        <is>
          <t>46%</t>
        </is>
      </c>
      <c r="E7" s="41" t="inlineStr">
        <is>
          <t>IPCA + 4.4%</t>
        </is>
      </c>
      <c r="F7" s="41" t="inlineStr">
        <is>
          <t>Leveraged</t>
        </is>
      </c>
      <c r="G7" s="8" t="inlineStr">
        <is>
          <t>Gas thermal; Capex R$0.8bn</t>
        </is>
      </c>
    </row>
    <row r="8" ht="30" customHeight="1">
      <c r="A8" s="38" t="inlineStr">
        <is>
          <t>Focus (Futura) acquisition</t>
        </is>
      </c>
      <c r="B8" s="43" t="inlineStr">
        <is>
          <t>Dec-21</t>
        </is>
      </c>
      <c r="C8" s="44" t="inlineStr">
        <is>
          <t>~10-11%</t>
        </is>
      </c>
      <c r="D8" s="43" t="inlineStr">
        <is>
          <t>85%</t>
        </is>
      </c>
      <c r="E8" s="43" t="inlineStr">
        <is>
          <t>IPCA + 5.8%</t>
        </is>
      </c>
      <c r="F8" s="43" t="inlineStr">
        <is>
          <t>Leveraged</t>
        </is>
      </c>
      <c r="G8" s="39" t="inlineStr">
        <is>
          <t>Incl. Futura 1 solar + trading cos; Capex R$3.0bn</t>
        </is>
      </c>
    </row>
    <row r="9" ht="30" customHeight="1">
      <c r="A9" s="7" t="inlineStr">
        <is>
          <t>Small-Scale LNG (greenfield)</t>
        </is>
      </c>
      <c r="B9" s="41" t="inlineStr">
        <is>
          <t>2021</t>
        </is>
      </c>
      <c r="C9" s="42" t="inlineStr">
        <is>
          <t>~24-30%</t>
        </is>
      </c>
      <c r="D9" s="41" t="inlineStr">
        <is>
          <t>66%</t>
        </is>
      </c>
      <c r="E9" s="41" t="inlineStr">
        <is>
          <t>IPCA + 3.4%</t>
        </is>
      </c>
      <c r="F9" s="41" t="inlineStr">
        <is>
          <t>Leveraged</t>
        </is>
      </c>
      <c r="G9" s="8" t="inlineStr">
        <is>
          <t>Greenfield LNG; Capex R$1.0bn</t>
        </is>
      </c>
    </row>
    <row r="10" ht="30" customHeight="1">
      <c r="A10" s="38" t="inlineStr">
        <is>
          <t>Fortaleza TPP (Termofortaleza)</t>
        </is>
      </c>
      <c r="B10" s="43" t="inlineStr">
        <is>
          <t>Jun-22</t>
        </is>
      </c>
      <c r="C10" s="44" t="inlineStr">
        <is>
          <t>~20%</t>
        </is>
      </c>
      <c r="D10" s="43" t="inlineStr">
        <is>
          <t>n.a.</t>
        </is>
      </c>
      <c r="E10" s="43" t="inlineStr">
        <is>
          <t>n.a.</t>
        </is>
      </c>
      <c r="F10" s="43" t="inlineStr">
        <is>
          <t>Unleveraged at acq.</t>
        </is>
      </c>
      <c r="G10" s="39" t="inlineStr">
        <is>
          <t>Gas thermal; Investment R$0.5bn</t>
        </is>
      </c>
    </row>
    <row r="11" ht="30" customHeight="1">
      <c r="A11" s="7" t="inlineStr">
        <is>
          <t>Azulão 950 (greenfield)</t>
        </is>
      </c>
      <c r="B11" s="41" t="inlineStr">
        <is>
          <t>2022</t>
        </is>
      </c>
      <c r="C11" s="42" t="inlineStr">
        <is>
          <t>~16-17%</t>
        </is>
      </c>
      <c r="D11" s="41" t="inlineStr">
        <is>
          <t>on going</t>
        </is>
      </c>
      <c r="E11" s="41" t="inlineStr">
        <is>
          <t>IPCA + 4.1%</t>
        </is>
      </c>
      <c r="F11" s="41" t="inlineStr">
        <is>
          <t>Leveraged</t>
        </is>
      </c>
      <c r="G11" s="8" t="inlineStr">
        <is>
          <t>G2P greenfield; est. Capex R$5.8bn</t>
        </is>
      </c>
    </row>
    <row r="12" ht="30" customHeight="1">
      <c r="A12" s="38" t="inlineStr">
        <is>
          <t>Celse acquisition</t>
        </is>
      </c>
      <c r="B12" s="43" t="inlineStr">
        <is>
          <t>Dec-22</t>
        </is>
      </c>
      <c r="C12" s="44" t="inlineStr">
        <is>
          <t>~16%</t>
        </is>
      </c>
      <c r="D12" s="43" t="inlineStr">
        <is>
          <t>n.a.</t>
        </is>
      </c>
      <c r="E12" s="43" t="inlineStr">
        <is>
          <t>IPCA + 7.0%</t>
        </is>
      </c>
      <c r="F12" s="43" t="inlineStr">
        <is>
          <t>Leveraged</t>
        </is>
      </c>
      <c r="G12" s="39" t="inlineStr">
        <is>
          <t>Sergipe gas thermal (Celse); Investment R$6.1bn</t>
        </is>
      </c>
    </row>
    <row r="13" ht="30" customHeight="1">
      <c r="A13" s="7" t="inlineStr">
        <is>
          <t>BTG assets</t>
        </is>
      </c>
      <c r="B13" s="41" t="inlineStr">
        <is>
          <t>Nov-24</t>
        </is>
      </c>
      <c r="C13" s="42" t="inlineStr">
        <is>
          <t>~20-24%</t>
        </is>
      </c>
      <c r="D13" s="41" t="inlineStr">
        <is>
          <t>9%</t>
        </is>
      </c>
      <c r="E13" s="41" t="inlineStr">
        <is>
          <t>IPCA + 6.9%</t>
        </is>
      </c>
      <c r="F13" s="41" t="inlineStr">
        <is>
          <t>Leveraged</t>
        </is>
      </c>
      <c r="G13" s="8" t="inlineStr">
        <is>
          <t>Investment R$3.1bn</t>
        </is>
      </c>
    </row>
    <row r="14" ht="30" customHeight="1">
      <c r="A14" s="20" t="inlineStr">
        <is>
          <t>LRCAP26 - Sergipe Hub</t>
        </is>
      </c>
      <c r="B14" s="43" t="inlineStr">
        <is>
          <t>Mar-26</t>
        </is>
      </c>
      <c r="C14" s="44" t="inlineStr">
        <is>
          <t>~26-27%</t>
        </is>
      </c>
      <c r="D14" s="43" t="inlineStr">
        <is>
          <t>n.a.</t>
        </is>
      </c>
      <c r="E14" s="43" t="inlineStr">
        <is>
          <t>n.a.</t>
        </is>
      </c>
      <c r="F14" s="43" t="inlineStr">
        <is>
          <t>Unlevered</t>
        </is>
      </c>
      <c r="G14" s="39" t="inlineStr">
        <is>
          <t>2026 Capacity Auction new G2P; part of R$18.2bn capex</t>
        </is>
      </c>
    </row>
    <row r="15" ht="30" customHeight="1">
      <c r="A15" s="20" t="inlineStr">
        <is>
          <t>LRCAP26 - Ceará Hub</t>
        </is>
      </c>
      <c r="B15" s="41" t="inlineStr">
        <is>
          <t>Mar-26</t>
        </is>
      </c>
      <c r="C15" s="42" t="inlineStr">
        <is>
          <t>~22%</t>
        </is>
      </c>
      <c r="D15" s="41" t="inlineStr">
        <is>
          <t>n.a.</t>
        </is>
      </c>
      <c r="E15" s="41" t="inlineStr">
        <is>
          <t>n.a.</t>
        </is>
      </c>
      <c r="F15" s="41" t="inlineStr">
        <is>
          <t>Unlevered</t>
        </is>
      </c>
      <c r="G15" s="8" t="inlineStr">
        <is>
          <t>2026 Capacity Auction new G2P</t>
        </is>
      </c>
    </row>
    <row r="16" ht="30" customHeight="1">
      <c r="A16" s="20" t="inlineStr">
        <is>
          <t>LRCAP26 - Southeast Hub</t>
        </is>
      </c>
      <c r="B16" s="43" t="inlineStr">
        <is>
          <t>Mar-26</t>
        </is>
      </c>
      <c r="C16" s="44" t="inlineStr">
        <is>
          <t>~14%</t>
        </is>
      </c>
      <c r="D16" s="43" t="inlineStr">
        <is>
          <t>n.a.</t>
        </is>
      </c>
      <c r="E16" s="43" t="inlineStr">
        <is>
          <t>n.a.</t>
        </is>
      </c>
      <c r="F16" s="43" t="inlineStr">
        <is>
          <t>Unlevered</t>
        </is>
      </c>
      <c r="G16" s="39" t="inlineStr">
        <is>
          <t>2026 Capacity Auction new G2P</t>
        </is>
      </c>
    </row>
    <row r="18" ht="30" customHeight="1">
      <c r="A18" s="45" t="inlineStr">
        <is>
          <t>LRCAP26 = Brazil's 2026 Capacity Reserve Auction; those three hubs are NEW gas-to-power projects shown at UNLEVERED real IRR (highlighted). All other rows are leveraged real IRRs (Fortaleza TPP unleveraged at acquisition).</t>
        </is>
      </c>
      <c r="B18" s="36" t="n"/>
      <c r="C18" s="36" t="n"/>
      <c r="D18" s="36" t="n"/>
      <c r="E18" s="36" t="n"/>
      <c r="F18" s="36" t="n"/>
      <c r="G18" s="37" t="n"/>
    </row>
  </sheetData>
  <mergeCells count="4">
    <mergeCell ref="A3:G3"/>
    <mergeCell ref="A2:G2"/>
    <mergeCell ref="A1:G1"/>
    <mergeCell ref="A18:G18"/>
  </mergeCells>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6" customWidth="1" min="2" max="2"/>
    <col width="26" customWidth="1" min="3" max="3"/>
    <col width="60" customWidth="1" min="4" max="4"/>
    <col width="34" customWidth="1" min="5" max="5"/>
    <col width="60" customWidth="1" min="6" max="6"/>
  </cols>
  <sheetData>
    <row r="1" ht="22" customHeight="1">
      <c r="A1" s="19" t="inlineStr">
        <is>
          <t>Coverage &amp; gaps — what was found, and what the egress policy prevented (do not treat blocked = 'no disclosure')</t>
        </is>
      </c>
    </row>
    <row r="2" ht="30" customHeight="1">
      <c r="A2" s="6" t="inlineStr">
        <is>
          <t>Ticker</t>
        </is>
      </c>
      <c r="B2" s="6" t="inlineStr">
        <is>
          <t>Company</t>
        </is>
      </c>
      <c r="C2" s="6" t="inlineStr">
        <is>
          <t>Result</t>
        </is>
      </c>
      <c r="D2" s="6" t="inlineStr">
        <is>
          <t>Summary</t>
        </is>
      </c>
      <c r="E2" s="6" t="inlineStr">
        <is>
          <t>Blocked official domains</t>
        </is>
      </c>
      <c r="F2" s="6" t="inlineStr">
        <is>
          <t>What a human with browser access should check</t>
        </is>
      </c>
    </row>
    <row r="3" ht="100" customHeight="1">
      <c r="A3" s="24" t="inlineStr">
        <is>
          <t>ENEV3 BZ</t>
        </is>
      </c>
      <c r="B3" s="25" t="inlineStr">
        <is>
          <t>Eneva</t>
        </is>
      </c>
      <c r="C3" s="24" t="inlineStr">
        <is>
          <t>FOUND (Apr-2026 deck)</t>
        </is>
      </c>
      <c r="D3" s="25" t="inlineStr">
        <is>
          <t>RESOLVED using the deck you provided. Eneva discloses per-project REAL IRRs (slide 13): NEW 2026-auction gas hubs at ~14–27% unlevered; existing G2P/thermal/LNG at ~10–30% leveraged. Framed as a spread over NTN-b 2040 (real risk-free). See findings tab + 'Eneva Project IRRs' tab.</t>
        </is>
      </c>
      <c r="E3" s="25" t="inlineStr">
        <is>
          <t>api.mziq.com; ri.eneva.com.br (still blocked in-env — data now sourced from the uploaded deck)</t>
        </is>
      </c>
      <c r="F3" s="25" t="inlineStr">
        <is>
          <t>For exact IRR %s (deck shows a chart, not a table): the impairment/value-in-use 'taxa de desconto' in the DFP/ITR notes, and any per-project figures in the Formulário de Referência.</t>
        </is>
      </c>
    </row>
    <row r="4" ht="100" customHeight="1">
      <c r="A4" s="38" t="inlineStr">
        <is>
          <t>COLBUN CI</t>
        </is>
      </c>
      <c r="B4" s="39" t="inlineStr">
        <is>
          <t>Colbún</t>
        </is>
      </c>
      <c r="C4" s="38" t="inlineStr">
        <is>
          <t>BLOCKED — none surfaced</t>
        </is>
      </c>
      <c r="D4" s="39" t="inlineStr">
        <is>
          <t>Disclosure framed around CapEx guidance and project pipeline, not explicit return thresholds. Management stated BESS projects are always linked to a PPA. No target IRR/WACC/spread found in search snippets.</t>
        </is>
      </c>
      <c r="E4" s="39" t="inlineStr">
        <is>
          <t>www.colbun.cl (all corporate/IR pages &amp; PDFs)</t>
        </is>
      </c>
      <c r="F4" s="39" t="inlineStr">
        <is>
          <t>Memoria Integrada / annual report; earnings-call transcripts; bond prospectus (impairment discount rate); any Investor Day deck.</t>
        </is>
      </c>
    </row>
    <row r="5" ht="100" customHeight="1">
      <c r="A5" s="7" t="inlineStr">
        <is>
          <t>AURE3 BZ</t>
        </is>
      </c>
      <c r="B5" s="8" t="inlineStr">
        <is>
          <t>Auren Energia</t>
        </is>
      </c>
      <c r="C5" s="7" t="inlineStr">
        <is>
          <t>None disclosed</t>
        </is>
      </c>
      <c r="D5" s="8" t="inlineStr">
        <is>
          <t>3rd-largest Brazilian generator, 100% renewable + trading, ~no gas — so no gas/thermal hurdle exists. No company-stated hurdle/target IRR/WACC found; all located figures were third-party.</t>
        </is>
      </c>
      <c r="E5" s="8" t="inlineStr">
        <is>
          <t>ri.aurenenergia.com.br; api.mziq.com; rad.cvm.gov.br</t>
        </is>
      </c>
      <c r="F5" s="8" t="inlineStr">
        <is>
          <t>Audited financial statements: impairment / value-in-use discount rate.</t>
        </is>
      </c>
    </row>
    <row r="6" ht="100" customHeight="1">
      <c r="A6" s="38" t="inlineStr">
        <is>
          <t>ENLASA CI</t>
        </is>
      </c>
      <c r="B6" s="39" t="inlineStr">
        <is>
          <t>Energía Latina (Enlasa)</t>
        </is>
      </c>
      <c r="C6" s="38" t="inlineStr">
        <is>
          <t>None disclosed</t>
        </is>
      </c>
      <c r="D6" s="39" t="inlineStr">
        <is>
          <t>Small backup/peaking diesel-&amp;-gas generator; does not publish investor-day-style return frameworks. Only bond-line mechanics and rating narrative surfaced.</t>
        </is>
      </c>
      <c r="E6" s="39" t="inlineStr">
        <is>
          <t>enlasa.com; cmfchile.cl; humphreys.cl</t>
        </is>
      </c>
      <c r="F6" s="39" t="inlineStr">
        <is>
          <t>CMF bond prospectus and Memoria/Estados Financieros — any impairment 'tasa de descuento'.</t>
        </is>
      </c>
    </row>
    <row r="7" ht="100" customHeight="1">
      <c r="A7" s="7" t="inlineStr">
        <is>
          <t>EGIE3 BZ</t>
        </is>
      </c>
      <c r="B7" s="8" t="inlineStr">
        <is>
          <t>Engie Brasil</t>
        </is>
      </c>
      <c r="C7" s="7" t="inlineStr">
        <is>
          <t>Found (group-level)</t>
        </is>
      </c>
      <c r="D7" s="8" t="inlineStr">
        <is>
          <t>Listed BR entity states no own hurdle; ENGIE group applies IRR-minus-WACC spread of ~150–250 bps + an NPV/Capex value-creation test. On findings tab.</t>
        </is>
      </c>
      <c r="E7" s="8" t="inlineStr">
        <is>
          <t>engie.com PDF (page-level verbatim blocked)</t>
        </is>
      </c>
      <c r="F7" s="8" t="inlineStr">
        <is>
          <t>ENGIE group H1/FY transcripts &amp; fact sheets; Engie Brasil Formulário de Referência.</t>
        </is>
      </c>
    </row>
    <row r="8" ht="100" customHeight="1">
      <c r="A8" s="38" t="inlineStr">
        <is>
          <t>ENELGXCH CI</t>
        </is>
      </c>
      <c r="B8" s="39" t="inlineStr">
        <is>
          <t>Enel Generación Chile</t>
        </is>
      </c>
      <c r="C8" s="38" t="inlineStr">
        <is>
          <t>Found (parent/group)</t>
        </is>
      </c>
      <c r="D8" s="39" t="inlineStr">
        <is>
          <t>Hurdle at Enel Chile / Enel group level (≥300 bps above WACC for BESS; ~300 bps IRR-WACC for renewables). Renewables/storage-specific, not gas. On findings tab.</t>
        </is>
      </c>
      <c r="E8" s="39" t="inlineStr">
        <is>
          <t>enel.com; enelamericas.com; transcript hosts</t>
        </is>
      </c>
      <c r="F8" s="39" t="inlineStr">
        <is>
          <t>Enel Chile Q1-26 call transcript; Enel 2025–27 Strategic Plan deck.</t>
        </is>
      </c>
    </row>
    <row r="9" ht="100" customHeight="1">
      <c r="A9" s="7" t="inlineStr">
        <is>
          <t>CELSIA CB</t>
        </is>
      </c>
      <c r="B9" s="8" t="inlineStr">
        <is>
          <t>Celsia</t>
        </is>
      </c>
      <c r="C9" s="7" t="inlineStr">
        <is>
          <t>Found (company-wide)</t>
        </is>
      </c>
      <c r="D9" s="8" t="inlineStr">
        <is>
          <t>Company-wide ROCE target &gt;200 bps above WACC; actual FY22 WACC 13.02% / ROCE 14.33%. Not gas-specific though Celsia owns gas thermal. On findings tab.</t>
        </is>
      </c>
      <c r="E9" s="8" t="inlineStr">
        <is>
          <t>www.celsia.com (verbatim blocked; quotes from snippets)</t>
        </is>
      </c>
      <c r="F9" s="8" t="inlineStr">
        <is>
          <t>'¿Por qué invertir en Celsia?' IR page; Informe Integrado; results releases.</t>
        </is>
      </c>
    </row>
    <row r="10" ht="100" customHeight="1">
      <c r="A10" s="38" t="inlineStr">
        <is>
          <t>GEB CB</t>
        </is>
      </c>
      <c r="B10" s="39" t="inlineStr">
        <is>
          <t>Grupo Energía Bogotá</t>
        </is>
      </c>
      <c r="C10" s="38" t="inlineStr">
        <is>
          <t>Found (gas transport)</t>
        </is>
      </c>
      <c r="D10" s="39" t="inlineStr">
        <is>
          <t>Gas-transport regulated WACC 11.88% (pre-tax, real, constant COP), set by CREG for TGI — a real gas-infrastructure return, regulator-set. Rolled back/refund ordered Mar-26. On findings tab.</t>
        </is>
      </c>
      <c r="E10" s="39" t="inlineStr">
        <is>
          <t>creg.gov.co; GEB IR pages</t>
        </is>
      </c>
      <c r="F10" s="39" t="inlineStr">
        <is>
          <t>Primary CREG Res. 102 002/2023 &amp; Res. 103/2021; GEB Reporte Integrado.</t>
        </is>
      </c>
    </row>
    <row r="11" ht="100" customHeight="1">
      <c r="A11" s="7" t="inlineStr">
        <is>
          <t>AXIA3 BZ</t>
        </is>
      </c>
      <c r="B11" s="8" t="inlineStr">
        <is>
          <t>AXIA (ex-Eletrobras)</t>
        </is>
      </c>
      <c r="C11" s="7" t="inlineStr">
        <is>
          <t>Found (regulatory WACC)</t>
        </is>
      </c>
      <c r="D11" s="8" t="inlineStr">
        <is>
          <t>No internal hurdle found; mostly hydro. Regulated transmission earns ANEEL WACC ~7.89% real after-tax (2025; 8.00% from Mar-26); AXIA slides say 'IPCA + 12.12%'. On findings tab.</t>
        </is>
      </c>
      <c r="E11" s="8" t="inlineStr">
        <is>
          <t>sec.gov (20-F/6-K); aneel.gov.br</t>
        </is>
      </c>
      <c r="F11" s="8" t="inlineStr">
        <is>
          <t>AXIA Business/Strategic Plan &amp; Q4-25 investor slides; ANEEL WACC releases.</t>
        </is>
      </c>
    </row>
    <row r="12" ht="100" customHeight="1">
      <c r="A12" s="38" t="inlineStr">
        <is>
          <t>AESO3 BZ</t>
        </is>
      </c>
      <c r="B12" s="39" t="inlineStr">
        <is>
          <t>AES Brasil / AES Corp</t>
        </is>
      </c>
      <c r="C12" s="38" t="inlineStr">
        <is>
          <t>Found (group-level)</t>
        </is>
      </c>
      <c r="D12" s="39" t="inlineStr">
        <is>
          <t>AES (parent) targets 12–15% unlevered on renewable/PPA investments (data-center PPAs at higher end). One gas figure (Uruguaiana 7.16%) is ANEEL-set &amp; divested in 2020. On findings tab.</t>
        </is>
      </c>
      <c r="E12" s="39" t="inlineStr">
        <is>
          <t>aes.com; transcript hosts</t>
        </is>
      </c>
      <c r="F12" s="39" t="inlineStr">
        <is>
          <t>AES Corp Q3-25 call transcript; AES Brasil reference form.</t>
        </is>
      </c>
    </row>
    <row r="13" ht="100" customHeight="1">
      <c r="A13" s="7" t="inlineStr">
        <is>
          <t>PEHUEN CI</t>
        </is>
      </c>
      <c r="B13" s="8" t="inlineStr">
        <is>
          <t>Empresa Eléctrica Pehuenche</t>
        </is>
      </c>
      <c r="C13" s="7" t="inlineStr">
        <is>
          <t>None (third-party only)</t>
        </is>
      </c>
      <c r="D13" s="8" t="inlineStr">
        <is>
          <t>Hydro subsidiary of Enel Generación Chile; no own disclosure. Only third-party WACC for parent Enel Chile (~8.0–8.8%). No gas.</t>
        </is>
      </c>
      <c r="E13" s="8" t="inlineStr">
        <is>
          <t>(subsidiary — relies on Enel group disclosure)</t>
        </is>
      </c>
      <c r="F13" s="8" t="inlineStr">
        <is>
          <t>Enel Chile group materials (see ENELGXCH).</t>
        </is>
      </c>
    </row>
    <row r="14" ht="100" customHeight="1">
      <c r="A14" s="38" t="inlineStr">
        <is>
          <t>ENMT4 BZ</t>
        </is>
      </c>
      <c r="B14" s="39" t="inlineStr">
        <is>
          <t>Energisa Mato Grosso</t>
        </is>
      </c>
      <c r="C14" s="38" t="inlineStr">
        <is>
          <t>N/A — distribution</t>
        </is>
      </c>
      <c r="D14" s="39" t="inlineStr">
        <is>
          <t>Electricity distribution utility, not a generator. Regulated by ANEEL distribution WACC (~8.10% real after-tax, 2026). No generation/gas hurdle.</t>
        </is>
      </c>
      <c r="E14" s="39" t="inlineStr">
        <is>
          <t>energisa.com.br / api.mziq (N/A)</t>
        </is>
      </c>
      <c r="F14" s="39" t="inlineStr">
        <is>
          <t>ANEEL distribution WACC releases if of interest.</t>
        </is>
      </c>
    </row>
    <row r="15" ht="100" customHeight="1">
      <c r="A15" s="7" t="inlineStr">
        <is>
          <t>EQMA3B BZ</t>
        </is>
      </c>
      <c r="B15" s="8" t="inlineStr">
        <is>
          <t>Equatorial Maranhão</t>
        </is>
      </c>
      <c r="C15" s="7" t="inlineStr">
        <is>
          <t>N/A — distribution</t>
        </is>
      </c>
      <c r="D15" s="8" t="inlineStr">
        <is>
          <t>Electricity distribution utility, not a generator. Regulated by ANEEL distribution WACC. No generation/gas hurdle.</t>
        </is>
      </c>
      <c r="E15" s="8" t="inlineStr">
        <is>
          <t>equatorialenergia.com.br (N/A)</t>
        </is>
      </c>
      <c r="F15" s="8" t="inlineStr">
        <is>
          <t>Equatorial group investor materials (not gas).</t>
        </is>
      </c>
    </row>
    <row r="16" ht="100" customHeight="1">
      <c r="A16" s="38" t="inlineStr">
        <is>
          <t>GEPA4 BZ</t>
        </is>
      </c>
      <c r="B16" s="39" t="inlineStr">
        <is>
          <t>Rio Paranapanema</t>
        </is>
      </c>
      <c r="C16" s="38" t="inlineStr">
        <is>
          <t>None — hydro</t>
        </is>
      </c>
      <c r="D16" s="39" t="inlineStr">
        <is>
          <t>100% hydro; no gas. No company-stated hurdle found.</t>
        </is>
      </c>
      <c r="E16" s="39" t="inlineStr">
        <is>
          <t>(not disclosed)</t>
        </is>
      </c>
      <c r="F16" s="39" t="inlineStr">
        <is>
          <t>Reference form / results.</t>
        </is>
      </c>
    </row>
    <row r="17" ht="100" customHeight="1">
      <c r="A17" s="7" t="inlineStr">
        <is>
          <t>PRMN3B BZ</t>
        </is>
      </c>
      <c r="B17" s="8" t="inlineStr">
        <is>
          <t>PROMAN</t>
        </is>
      </c>
      <c r="C17" s="7" t="inlineStr">
        <is>
          <t>None — single hydro asset</t>
        </is>
      </c>
      <c r="D17" s="8" t="inlineStr">
        <is>
          <t>Single hydro plant (Manso); no gas; no investor-return framework published.</t>
        </is>
      </c>
      <c r="E17" s="8" t="inlineStr">
        <is>
          <t>(not disclosed)</t>
        </is>
      </c>
      <c r="F17" s="8" t="inlineStr">
        <is>
          <t>Reference form, if any.</t>
        </is>
      </c>
    </row>
    <row r="18" ht="100" customHeight="1">
      <c r="A18" s="38" t="inlineStr">
        <is>
          <t>CEBR5 BZ</t>
        </is>
      </c>
      <c r="B18" s="39" t="inlineStr">
        <is>
          <t>CEB</t>
        </is>
      </c>
      <c r="C18" s="38" t="inlineStr">
        <is>
          <t>None — ex-utility</t>
        </is>
      </c>
      <c r="D18" s="39" t="inlineStr">
        <is>
          <t>Hollowed-out ex-utility that sold most generation; no gas hurdle published.</t>
        </is>
      </c>
      <c r="E18" s="39" t="inlineStr">
        <is>
          <t>(not disclosed)</t>
        </is>
      </c>
      <c r="F18" s="39" t="inlineStr">
        <is>
          <t>Reference form / results.</t>
        </is>
      </c>
    </row>
    <row r="19" ht="100" customHeight="1">
      <c r="A19" s="7" t="inlineStr">
        <is>
          <t>PUNTILLA CI</t>
        </is>
      </c>
      <c r="B19" s="8" t="inlineStr">
        <is>
          <t>Eléctrica Puntilla</t>
        </is>
      </c>
      <c r="C19" s="7" t="inlineStr">
        <is>
          <t>None — small hydro</t>
        </is>
      </c>
      <c r="D19" s="8" t="inlineStr">
        <is>
          <t>Small run-of-river hydro (Chile); no gas; no return framework published.</t>
        </is>
      </c>
      <c r="E19" s="8" t="inlineStr">
        <is>
          <t>(not disclosed)</t>
        </is>
      </c>
      <c r="F19" s="8" t="inlineStr">
        <is>
          <t>CMF Memoria, if any.</t>
        </is>
      </c>
    </row>
    <row r="20" ht="100" customHeight="1">
      <c r="A20" s="38" t="inlineStr">
        <is>
          <t>WIG JA</t>
        </is>
      </c>
      <c r="B20" s="39" t="inlineStr">
        <is>
          <t>Wigton Energy</t>
        </is>
      </c>
      <c r="C20" s="38" t="inlineStr">
        <is>
          <t>None — wind</t>
        </is>
      </c>
      <c r="D20" s="39" t="inlineStr">
        <is>
          <t>Wind operator (Jamaica); no gas; no stated investment hurdle found.</t>
        </is>
      </c>
      <c r="E20" s="39" t="inlineStr">
        <is>
          <t>(not disclosed)</t>
        </is>
      </c>
      <c r="F20" s="39" t="inlineStr">
        <is>
          <t>JSE annual report, if any return target.</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4"/>
  <sheetViews>
    <sheetView showGridLines="0" workbookViewId="0">
      <pane ySplit="3" topLeftCell="A4" activePane="bottomLeft" state="frozen"/>
      <selection pane="bottomLeft" activeCell="A1" sqref="A1"/>
    </sheetView>
  </sheetViews>
  <sheetFormatPr baseColWidth="8" defaultRowHeight="15"/>
  <cols>
    <col width="30" customWidth="1" min="1" max="1"/>
    <col width="30" customWidth="1" min="2" max="2"/>
    <col width="16" customWidth="1" min="3" max="3"/>
    <col width="34" customWidth="1" min="4" max="4"/>
    <col width="12" customWidth="1" min="5" max="5"/>
    <col width="10" customWidth="1" min="6" max="6"/>
    <col width="10" customWidth="1" min="7" max="7"/>
    <col width="7" customWidth="1" min="8" max="8"/>
    <col width="11" customWidth="1" min="9" max="9"/>
    <col width="11" customWidth="1" min="10" max="10"/>
    <col width="34" customWidth="1" min="11" max="11"/>
    <col width="50" customWidth="1" min="12" max="12"/>
  </cols>
  <sheetData>
    <row r="1" ht="24" customHeight="1">
      <c r="A1" s="19" t="inlineStr">
        <is>
          <t>Capacity-contract / availability-based generation — IRR &amp; discount-rate benchmarks (subject asset: operating, ~97% capacity revenue, Trinidad &amp; Tobago)</t>
        </is>
      </c>
    </row>
    <row r="2" ht="86" customHeight="1">
      <c r="A2" s="2" t="inlineStr">
        <is>
          <t>BASIS VARIES BY ROW — do not difference figures without converting. Columns flag levered/unlevered, real/nominal, pre/post-tax, currency. Merchant new-build (US CONE, NRG, ERCOT) is the CEILING, not your asset. Regulated returns (FERC ROE, ANEEL, Ofgem cap-floor) are the FLOOR. LatAm statutory capacity rates are REAL — add ~3-5% inflation for nominal. See the 'Capacity IRR - Synthesis' tab for the harmonised recommendation. Research note: many official PDFs were 403-blocked by this environment's egress policy; figures were captured via web-search of the official documents (links are canonical) and should be verified at source before use in a model.</t>
        </is>
      </c>
    </row>
    <row r="3" ht="30" customHeight="1">
      <c r="A3" s="6" t="inlineStr">
        <is>
          <t>Source / mechanism</t>
        </is>
      </c>
      <c r="B3" s="6" t="inlineStr">
        <is>
          <t>Asset / context</t>
        </is>
      </c>
      <c r="C3" s="6" t="inlineStr">
        <is>
          <t>Contract-life stage</t>
        </is>
      </c>
      <c r="D3" s="6" t="inlineStr">
        <is>
          <t>Return metric &amp; value</t>
        </is>
      </c>
      <c r="E3" s="6" t="inlineStr">
        <is>
          <t>Lev / Unlev</t>
        </is>
      </c>
      <c r="F3" s="6" t="inlineStr">
        <is>
          <t>Real / Nom</t>
        </is>
      </c>
      <c r="G3" s="6" t="inlineStr">
        <is>
          <t>Tax</t>
        </is>
      </c>
      <c r="H3" s="6" t="inlineStr">
        <is>
          <t>Ccy</t>
        </is>
      </c>
      <c r="I3" s="6" t="inlineStr">
        <is>
          <t>Date</t>
        </is>
      </c>
      <c r="J3" s="6" t="inlineStr">
        <is>
          <t>Off / 3P</t>
        </is>
      </c>
      <c r="K3" s="6" t="inlineStr">
        <is>
          <t>Source</t>
        </is>
      </c>
      <c r="L3" s="6" t="inlineStr">
        <is>
          <t>Notes</t>
        </is>
      </c>
    </row>
    <row r="4" ht="20" customHeight="1">
      <c r="A4" s="46" t="inlineStr">
        <is>
          <t>TRINIDAD &amp; TOBAGO — the direct comps (IPP availability PPAs with T&amp;TEC)</t>
        </is>
      </c>
      <c r="B4" s="36" t="n"/>
      <c r="C4" s="36" t="n"/>
      <c r="D4" s="36" t="n"/>
      <c r="E4" s="36" t="n"/>
      <c r="F4" s="36" t="n"/>
      <c r="G4" s="36" t="n"/>
      <c r="H4" s="36" t="n"/>
      <c r="I4" s="36" t="n"/>
      <c r="J4" s="36" t="n"/>
      <c r="K4" s="36" t="n"/>
      <c r="L4" s="37" t="n"/>
    </row>
    <row r="5" ht="60" customHeight="1">
      <c r="A5" s="47" t="inlineStr">
        <is>
          <t>Trinidad Generation Unlimited (TGU) — senior USD notes (Cbonds)</t>
        </is>
      </c>
      <c r="B5" s="48" t="inlineStr">
        <is>
          <t>720 MW CCGT, 30-yr availability PPA to ~2041</t>
        </is>
      </c>
      <c r="C5" s="49" t="inlineStr">
        <is>
          <t>Operating, mid-life</t>
        </is>
      </c>
      <c r="D5" s="47" t="inlineStr">
        <is>
          <t>~8.1% yield (7.75% coupon), US$525m due 2033</t>
        </is>
      </c>
      <c r="E5" s="49" t="inlineStr">
        <is>
          <t>Debt</t>
        </is>
      </c>
      <c r="F5" s="49" t="inlineStr">
        <is>
          <t>Nominal</t>
        </is>
      </c>
      <c r="G5" s="49" t="inlineStr">
        <is>
          <t>Pre-tax</t>
        </is>
      </c>
      <c r="H5" s="49" t="inlineStr">
        <is>
          <t>USD</t>
        </is>
      </c>
      <c r="I5" s="49" t="inlineStr">
        <is>
          <t>2025</t>
        </is>
      </c>
      <c r="J5" s="49" t="inlineStr">
        <is>
          <t>3rd-party</t>
        </is>
      </c>
      <c r="K5" s="23" t="inlineStr">
        <is>
          <t>https://cbonds.com/bonds/1868901/</t>
        </is>
      </c>
      <c r="L5" s="48" t="inlineStr">
        <is>
          <t>Actual local cost of SENIOR DEBT for a fully-contracted T&amp;T CCGT; embeds T&amp;TEC offtaker + Ba2 sovereign risk. Debt, not equity.</t>
        </is>
      </c>
    </row>
    <row r="6" ht="60" customHeight="1">
      <c r="A6" s="47" t="inlineStr">
        <is>
          <t>Energy for Growth Hub — T&amp;T PPA review</t>
        </is>
      </c>
      <c r="B6" s="48" t="inlineStr">
        <is>
          <t>T&amp;TEC single-buyer PPAs (PowerGen, TGU, Trinity, Lightsource)</t>
        </is>
      </c>
      <c r="C6" s="49" t="inlineStr">
        <is>
          <t>All stages</t>
        </is>
      </c>
      <c r="D6" s="47" t="inlineStr">
        <is>
          <t>Capacity charge covers fixed cost, debt service + 'an agreed equity return'</t>
        </is>
      </c>
      <c r="E6" s="49" t="inlineStr">
        <is>
          <t>n/a</t>
        </is>
      </c>
      <c r="F6" s="49" t="inlineStr">
        <is>
          <t>n/a</t>
        </is>
      </c>
      <c r="G6" s="49" t="inlineStr">
        <is>
          <t>n/a</t>
        </is>
      </c>
      <c r="H6" s="49" t="inlineStr">
        <is>
          <t>—</t>
        </is>
      </c>
      <c r="I6" s="49" t="inlineStr">
        <is>
          <t>Jul 2023</t>
        </is>
      </c>
      <c r="J6" s="49" t="inlineStr">
        <is>
          <t>3rd-party</t>
        </is>
      </c>
      <c r="K6" s="23" t="inlineStr">
        <is>
          <t>https://energyforgrowth.org/article/a-review-of-trinidad-and-tobagos-electricity-sector-and-ppa-process/</t>
        </is>
      </c>
      <c r="L6" s="48" t="inlineStr">
        <is>
          <t>Confirms availability / take-or-pay structure (matches your 97% capacity / 3% energy). Embedded equity return is CONFIDENTIAL.</t>
        </is>
      </c>
    </row>
    <row r="7" ht="60" customHeight="1">
      <c r="A7" s="47" t="inlineStr">
        <is>
          <t>Damodaran — Country Risk 2025</t>
        </is>
      </c>
      <c r="B7" s="48" t="inlineStr">
        <is>
          <t>Trinidad &amp; Tobago vs US mature market</t>
        </is>
      </c>
      <c r="C7" s="49" t="inlineStr">
        <is>
          <t>n/a (add-on)</t>
        </is>
      </c>
      <c r="D7" s="47" t="inlineStr">
        <is>
          <t>Country risk premium ~4.0% (total ERP 8.35%; US ERP 4.33%)</t>
        </is>
      </c>
      <c r="E7" s="49" t="inlineStr">
        <is>
          <t>Equity</t>
        </is>
      </c>
      <c r="F7" s="49" t="inlineStr">
        <is>
          <t>Nominal</t>
        </is>
      </c>
      <c r="G7" s="49" t="inlineStr">
        <is>
          <t>—</t>
        </is>
      </c>
      <c r="H7" s="49" t="inlineStr">
        <is>
          <t>USD</t>
        </is>
      </c>
      <c r="I7" s="49" t="inlineStr">
        <is>
          <t>Jul 2025</t>
        </is>
      </c>
      <c r="J7" s="49" t="inlineStr">
        <is>
          <t>3rd-party</t>
        </is>
      </c>
      <c r="K7" s="23" t="inlineStr">
        <is>
          <t>https://pages.stern.nyu.edu/~adamodar/New_Home_Page/datafile/ctryprem.html</t>
        </is>
      </c>
      <c r="L7" s="48" t="inlineStr">
        <is>
          <t>The EM add-on to cost of equity. Ba2 basis. Jamaica 8.9% / Guyana 6.3% for context.</t>
        </is>
      </c>
    </row>
    <row r="8" ht="60" customHeight="1">
      <c r="A8" s="47" t="inlineStr">
        <is>
          <t>Moody's / S&amp;P — T&amp;T sovereign</t>
        </is>
      </c>
      <c r="B8" s="48" t="inlineStr">
        <is>
          <t>Offtaker backstop (T&amp;TEC is quasi-sovereign)</t>
        </is>
      </c>
      <c r="C8" s="49" t="inlineStr">
        <is>
          <t>n/a</t>
        </is>
      </c>
      <c r="D8" s="47" t="inlineStr">
        <is>
          <t>Ba2 negative (Moody's, Dec-25) / BBB- negative (S&amp;P)</t>
        </is>
      </c>
      <c r="E8" s="49" t="inlineStr">
        <is>
          <t>n/a</t>
        </is>
      </c>
      <c r="F8" s="49" t="inlineStr">
        <is>
          <t>n/a</t>
        </is>
      </c>
      <c r="G8" s="49" t="inlineStr">
        <is>
          <t>n/a</t>
        </is>
      </c>
      <c r="H8" s="49" t="inlineStr">
        <is>
          <t>—</t>
        </is>
      </c>
      <c r="I8" s="49" t="inlineStr">
        <is>
          <t>2025</t>
        </is>
      </c>
      <c r="J8" s="49" t="inlineStr">
        <is>
          <t>Official/3rd-party</t>
        </is>
      </c>
      <c r="K8" s="23" t="inlineStr">
        <is>
          <t>https://www.finance.gov.tt/2025/12/12/media-release-moodys-maintains-the-ba2-government-of-trinidad-and-tobago-credit-rating-notwithstanding-short-term-headwinds/</t>
        </is>
      </c>
      <c r="L8" s="48" t="inlineStr">
        <is>
          <t>Split rating, negative outlook. Offtaker credit is the key risk to price, NOT volume risk.</t>
        </is>
      </c>
    </row>
    <row r="9" ht="60" customHeight="1">
      <c r="A9" s="47" t="inlineStr">
        <is>
          <t>Derived (build-up) — subject-asset benchmark</t>
        </is>
      </c>
      <c r="B9" s="48" t="inlineStr">
        <is>
          <t>Operating, fully-contracted T&amp;T availability asset</t>
        </is>
      </c>
      <c r="C9" s="49" t="inlineStr">
        <is>
          <t>Operating, mid-life</t>
        </is>
      </c>
      <c r="D9" s="47" t="inlineStr">
        <is>
          <t>~11-14% equity IRR; ~8-10% unlevered</t>
        </is>
      </c>
      <c r="E9" s="49" t="inlineStr">
        <is>
          <t>Both</t>
        </is>
      </c>
      <c r="F9" s="49" t="inlineStr">
        <is>
          <t>Nominal</t>
        </is>
      </c>
      <c r="G9" s="49" t="inlineStr">
        <is>
          <t>Post-tax</t>
        </is>
      </c>
      <c r="H9" s="49" t="inlineStr">
        <is>
          <t>USD</t>
        </is>
      </c>
      <c r="I9" s="49" t="inlineStr">
        <is>
          <t>2026</t>
        </is>
      </c>
      <c r="J9" s="49" t="inlineStr">
        <is>
          <t>Derived</t>
        </is>
      </c>
      <c r="K9" s="23" t="inlineStr">
        <is>
          <t>https://energyforgrowth.org/article/a-review-of-trinidad-and-tobagos-electricity-sector-and-ppa-process/</t>
        </is>
      </c>
      <c r="L9" s="48" t="inlineStr">
        <is>
          <t>DERIVED (CAPM build-up + TGU debt + generic contracted-IPP hurdle). NOT a disclosed transaction. See Synthesis tab.</t>
        </is>
      </c>
    </row>
    <row r="10" ht="60" customHeight="1">
      <c r="A10" s="47" t="inlineStr">
        <is>
          <t>Trinity Power / PowerGen — PPA expiries</t>
        </is>
      </c>
      <c r="B10" s="48" t="inlineStr">
        <is>
          <t>Near-end-of-contract T&amp;T comps</t>
        </is>
      </c>
      <c r="C10" s="49" t="inlineStr">
        <is>
          <t>Near end of PPA</t>
        </is>
      </c>
      <c r="D10" s="47" t="inlineStr">
        <is>
          <t>Trinity Power PPA expires ~2028; PowerGen 2029 &amp; 2037; TGU ~2041</t>
        </is>
      </c>
      <c r="E10" s="49" t="inlineStr">
        <is>
          <t>n/a</t>
        </is>
      </c>
      <c r="F10" s="49" t="inlineStr">
        <is>
          <t>n/a</t>
        </is>
      </c>
      <c r="G10" s="49" t="inlineStr">
        <is>
          <t>n/a</t>
        </is>
      </c>
      <c r="H10" s="49" t="inlineStr">
        <is>
          <t>—</t>
        </is>
      </c>
      <c r="I10" s="49" t="inlineStr">
        <is>
          <t>2023-26</t>
        </is>
      </c>
      <c r="J10" s="49" t="inlineStr">
        <is>
          <t>3rd-party</t>
        </is>
      </c>
      <c r="K10" s="23" t="inlineStr">
        <is>
          <t>https://newsday.co.tt/2024/07/20/saying-good-bye-to-powergen/</t>
        </is>
      </c>
      <c r="L10" s="48" t="inlineStr">
        <is>
          <t>PowerGen 2014 renewal is the local re-contracting precedent: offtake cut ~20%, Port of Spain plant retired. Draft National Electricity Policy (Jan-26) proposes competitive reform.</t>
        </is>
      </c>
    </row>
    <row r="11" ht="20" customHeight="1">
      <c r="A11" s="46" t="inlineStr">
        <is>
          <t>UNITED STATES — PJM / ISO-NE capacity markets (merchant new-build ceiling &amp; regulated floor)</t>
        </is>
      </c>
      <c r="B11" s="36" t="n"/>
      <c r="C11" s="36" t="n"/>
      <c r="D11" s="36" t="n"/>
      <c r="E11" s="36" t="n"/>
      <c r="F11" s="36" t="n"/>
      <c r="G11" s="36" t="n"/>
      <c r="H11" s="36" t="n"/>
      <c r="I11" s="36" t="n"/>
      <c r="J11" s="36" t="n"/>
      <c r="K11" s="36" t="n"/>
      <c r="L11" s="37" t="n"/>
    </row>
    <row r="12" ht="60" customHeight="1">
      <c r="A12" s="50" t="inlineStr">
        <is>
          <t>Brattle CONE report for PJM</t>
        </is>
      </c>
      <c r="B12" s="51" t="inlineStr">
        <is>
          <t>New reference gas CT/CC (sets Cost of New Entry)</t>
        </is>
      </c>
      <c r="C12" s="52" t="inlineStr">
        <is>
          <t>New-build (merchant)</t>
        </is>
      </c>
      <c r="D12" s="50" t="inlineStr">
        <is>
          <t>ATWACC 9.5%; implied ROE 16.0%; CoD 5.8%; 55/45</t>
        </is>
      </c>
      <c r="E12" s="52" t="inlineStr">
        <is>
          <t>Unlevered (WACC) &amp; equity</t>
        </is>
      </c>
      <c r="F12" s="52" t="inlineStr">
        <is>
          <t>Nominal</t>
        </is>
      </c>
      <c r="G12" s="52" t="inlineStr">
        <is>
          <t>After-tax</t>
        </is>
      </c>
      <c r="H12" s="52" t="inlineStr">
        <is>
          <t>USD</t>
        </is>
      </c>
      <c r="I12" s="52" t="inlineStr">
        <is>
          <t>Apr 2025</t>
        </is>
      </c>
      <c r="J12" s="52" t="inlineStr">
        <is>
          <t>Official</t>
        </is>
      </c>
      <c r="K12" s="31" t="inlineStr">
        <is>
          <t>https://www.pjm.com/-/media/DotCom/committees-groups/committees/mic/2025/20250411-special/item-1-02-revised-cone-report-final.pdf</t>
        </is>
      </c>
      <c r="L12" s="51" t="inlineStr">
        <is>
          <t>MERCHANT new-build reference (earns capacity + energy margin). Upper bound, NOT a contracted asset.</t>
        </is>
      </c>
    </row>
    <row r="13" ht="60" customHeight="1">
      <c r="A13" s="50" t="inlineStr">
        <is>
          <t>Brattle CONE for PJM (2026/27)</t>
        </is>
      </c>
      <c r="B13" s="51" t="inlineStr">
        <is>
          <t>New reference CT/CC</t>
        </is>
      </c>
      <c r="C13" s="52" t="inlineStr">
        <is>
          <t>New-build (merchant)</t>
        </is>
      </c>
      <c r="D13" s="50" t="inlineStr">
        <is>
          <t>ATWACC 8.85%</t>
        </is>
      </c>
      <c r="E13" s="52" t="inlineStr">
        <is>
          <t>Unlevered (WACC)</t>
        </is>
      </c>
      <c r="F13" s="52" t="inlineStr">
        <is>
          <t>Nominal</t>
        </is>
      </c>
      <c r="G13" s="52" t="inlineStr">
        <is>
          <t>After-tax</t>
        </is>
      </c>
      <c r="H13" s="52" t="inlineStr">
        <is>
          <t>USD</t>
        </is>
      </c>
      <c r="I13" s="52" t="inlineStr">
        <is>
          <t>Apr 2022</t>
        </is>
      </c>
      <c r="J13" s="52" t="inlineStr">
        <is>
          <t>Official</t>
        </is>
      </c>
      <c r="K13" s="31" t="inlineStr">
        <is>
          <t>https://www.pjm.com/-/media/DotCom/library/reports-notices/special-reports/2022/20220422-brattle-final-cone-report.pdf</t>
        </is>
      </c>
      <c r="L13" s="51" t="inlineStr">
        <is>
          <t>Lower-rate-era vintage; shows the rate rising with base rates.</t>
        </is>
      </c>
    </row>
    <row r="14" ht="60" customHeight="1">
      <c r="A14" s="50" t="inlineStr">
        <is>
          <t>ISO-NE / consultants — CONE &amp; Net CONE</t>
        </is>
      </c>
      <c r="B14" s="51" t="inlineStr">
        <is>
          <t>New reference CC</t>
        </is>
      </c>
      <c r="C14" s="52" t="inlineStr">
        <is>
          <t>New-build (merchant)</t>
        </is>
      </c>
      <c r="D14" s="50" t="inlineStr">
        <is>
          <t>ATWACC 8.3% nom / 6.1% REAL (2020); 8.96% &amp; ROE 13.8% (2023)</t>
        </is>
      </c>
      <c r="E14" s="52" t="inlineStr">
        <is>
          <t>Unlevered &amp; equity</t>
        </is>
      </c>
      <c r="F14" s="52" t="inlineStr">
        <is>
          <t>Both given</t>
        </is>
      </c>
      <c r="G14" s="52" t="inlineStr">
        <is>
          <t>After-tax</t>
        </is>
      </c>
      <c r="H14" s="52" t="inlineStr">
        <is>
          <t>USD</t>
        </is>
      </c>
      <c r="I14" s="52" t="inlineStr">
        <is>
          <t>2020-23</t>
        </is>
      </c>
      <c r="J14" s="52" t="inlineStr">
        <is>
          <t>Official</t>
        </is>
      </c>
      <c r="K14" s="31" t="inlineStr">
        <is>
          <t>https://www.iso-ne.com/static-assets/documents/2020/08/a4_a_iii_cea_presentation_cone_and_ortp_analysis.pdf</t>
        </is>
      </c>
      <c r="L14" s="51" t="inlineStr">
        <is>
          <t>One of the few sources giving BOTH real and nominal (≈2.2% inflation wedge).</t>
        </is>
      </c>
    </row>
    <row r="15" ht="60" customHeight="1">
      <c r="A15" s="50" t="inlineStr">
        <is>
          <t>Brattle CONE for ERCOT</t>
        </is>
      </c>
      <c r="B15" s="51" t="inlineStr">
        <is>
          <t>Energy-only merchant reference</t>
        </is>
      </c>
      <c r="C15" s="52" t="inlineStr">
        <is>
          <t>New-build (merchant)</t>
        </is>
      </c>
      <c r="D15" s="50" t="inlineStr">
        <is>
          <t>Base ATWACC 10.35% (+100 bps merchant premium debated)</t>
        </is>
      </c>
      <c r="E15" s="52" t="inlineStr">
        <is>
          <t>Unlevered (WACC)</t>
        </is>
      </c>
      <c r="F15" s="52" t="inlineStr">
        <is>
          <t>Nominal</t>
        </is>
      </c>
      <c r="G15" s="52" t="inlineStr">
        <is>
          <t>After-tax</t>
        </is>
      </c>
      <c r="H15" s="52" t="inlineStr">
        <is>
          <t>USD</t>
        </is>
      </c>
      <c r="I15" s="52" t="inlineStr">
        <is>
          <t>Aug 2024</t>
        </is>
      </c>
      <c r="J15" s="52" t="inlineStr">
        <is>
          <t>Official</t>
        </is>
      </c>
      <c r="K15" s="31" t="inlineStr">
        <is>
          <t>https://www.brattle.com/wp-content/uploads/2024/08/ERCOT-CONE-for-2026.pdf</t>
        </is>
      </c>
      <c r="L15" s="51" t="inlineStr">
        <is>
          <t>MERCHANT, energy-only — upper-bound contrast only. Do not use as a contracted benchmark.</t>
        </is>
      </c>
    </row>
    <row r="16" ht="60" customHeight="1">
      <c r="A16" s="50" t="inlineStr">
        <is>
          <t>FERC — allowed transmission ROE</t>
        </is>
      </c>
      <c r="B16" s="51" t="inlineStr">
        <is>
          <t>Regulated cost-of-service (equity floor proxy)</t>
        </is>
      </c>
      <c r="C16" s="52" t="inlineStr">
        <is>
          <t>Operating (regulated)</t>
        </is>
      </c>
      <c r="D16" s="50" t="inlineStr">
        <is>
          <t>Base ROE 9.3-9.98%</t>
        </is>
      </c>
      <c r="E16" s="52" t="inlineStr">
        <is>
          <t>Equity</t>
        </is>
      </c>
      <c r="F16" s="52" t="inlineStr">
        <is>
          <t>Nominal</t>
        </is>
      </c>
      <c r="G16" s="52" t="inlineStr">
        <is>
          <t>After-tax</t>
        </is>
      </c>
      <c r="H16" s="52" t="inlineStr">
        <is>
          <t>USD</t>
        </is>
      </c>
      <c r="I16" s="52" t="inlineStr">
        <is>
          <t>2024</t>
        </is>
      </c>
      <c r="J16" s="52" t="inlineStr">
        <is>
          <t>Official</t>
        </is>
      </c>
      <c r="K16" s="31" t="inlineStr">
        <is>
          <t>https://www.ferc.gov/news-events/news/ferc-revises-public-utility-roe-methodology-sets-policy-natural-gas-oil-pipelines</t>
        </is>
      </c>
      <c r="L16" s="51" t="inlineStr">
        <is>
          <t>Natural equity floor for a de-risked, contracted cash-flow stream.</t>
        </is>
      </c>
    </row>
    <row r="17" ht="60" customHeight="1">
      <c r="A17" s="50" t="inlineStr">
        <is>
          <t>NRG Energy — LS Power gas acquisition</t>
        </is>
      </c>
      <c r="B17" s="51" t="inlineStr">
        <is>
          <t>Corporate hurdle for gas-fleet M&amp;A</t>
        </is>
      </c>
      <c r="C17" s="52" t="inlineStr">
        <is>
          <t>Operating (merchant + capacity)</t>
        </is>
      </c>
      <c r="D17" s="50" t="inlineStr">
        <is>
          <t>12-15% unlevered pre-tax; deal at ~7.5x EV/EBITDA</t>
        </is>
      </c>
      <c r="E17" s="52" t="inlineStr">
        <is>
          <t>Unlevered</t>
        </is>
      </c>
      <c r="F17" s="52" t="inlineStr">
        <is>
          <t>Nominal</t>
        </is>
      </c>
      <c r="G17" s="52" t="inlineStr">
        <is>
          <t>Pre-tax</t>
        </is>
      </c>
      <c r="H17" s="52" t="inlineStr">
        <is>
          <t>USD</t>
        </is>
      </c>
      <c r="I17" s="52" t="inlineStr">
        <is>
          <t>May 2025</t>
        </is>
      </c>
      <c r="J17" s="52" t="inlineStr">
        <is>
          <t>Official</t>
        </is>
      </c>
      <c r="K17" s="31" t="inlineStr">
        <is>
          <t>https://investors.nrg.com/news-releases/news-release-details/nrg-energy-inc-acquire-premier-power-portfolio-ls-power</t>
        </is>
      </c>
      <c r="L17" s="51" t="inlineStr">
        <is>
          <t>Retains merchant/capacity upside — this is the majors-table figure. Contracted-only asset sits below.</t>
        </is>
      </c>
    </row>
    <row r="18" ht="60" customHeight="1">
      <c r="A18" s="50" t="inlineStr">
        <is>
          <t>Triangulated (US)</t>
        </is>
      </c>
      <c r="B18" s="51" t="inlineStr">
        <is>
          <t>Operating, fully-contracted capacity asset</t>
        </is>
      </c>
      <c r="C18" s="52" t="inlineStr">
        <is>
          <t>Operating, mid-life</t>
        </is>
      </c>
      <c r="D18" s="50" t="inlineStr">
        <is>
          <t>~9-12% levered equity / ~7-9% WACC</t>
        </is>
      </c>
      <c r="E18" s="52" t="inlineStr">
        <is>
          <t>Both</t>
        </is>
      </c>
      <c r="F18" s="52" t="inlineStr">
        <is>
          <t>Nominal</t>
        </is>
      </c>
      <c r="G18" s="52" t="inlineStr">
        <is>
          <t>After-tax</t>
        </is>
      </c>
      <c r="H18" s="52" t="inlineStr">
        <is>
          <t>USD</t>
        </is>
      </c>
      <c r="I18" s="52" t="inlineStr">
        <is>
          <t>2025</t>
        </is>
      </c>
      <c r="J18" s="52" t="inlineStr">
        <is>
          <t>Derived</t>
        </is>
      </c>
      <c r="K18" s="31" t="inlineStr">
        <is>
          <t>https://www.pjm.com/-/media/DotCom/committees-groups/committees/mic/2025/20250411-special/item-1-02-revised-cone-report-final.pdf</t>
        </is>
      </c>
      <c r="L18" s="51" t="inlineStr">
        <is>
          <t>Between FERC ROE floor (~9.3-10%) and merchant CONE equity ceiling (13-16%).</t>
        </is>
      </c>
    </row>
    <row r="19" ht="20" customHeight="1">
      <c r="A19" s="46" t="inlineStr">
        <is>
          <t>GREAT BRITAIN &amp; IRELAND — capacity markets</t>
        </is>
      </c>
      <c r="B19" s="36" t="n"/>
      <c r="C19" s="36" t="n"/>
      <c r="D19" s="36" t="n"/>
      <c r="E19" s="36" t="n"/>
      <c r="F19" s="36" t="n"/>
      <c r="G19" s="36" t="n"/>
      <c r="H19" s="36" t="n"/>
      <c r="I19" s="36" t="n"/>
      <c r="J19" s="36" t="n"/>
      <c r="K19" s="36" t="n"/>
      <c r="L19" s="37" t="n"/>
    </row>
    <row r="20" ht="60" customHeight="1">
      <c r="A20" s="53" t="inlineStr">
        <is>
          <t>BEIS/DESNZ — Electricity Generation Costs / NERA</t>
        </is>
      </c>
      <c r="B20" s="54" t="inlineStr">
        <is>
          <t>Unabated gas new-build (CCGT/OCGT) — the net-CONE reference</t>
        </is>
      </c>
      <c r="C20" s="55" t="inlineStr">
        <is>
          <t>New-build</t>
        </is>
      </c>
      <c r="D20" s="53" t="inlineStr">
        <is>
          <t>Hurdle rate ~7.8% (CCGT 7.5%)</t>
        </is>
      </c>
      <c r="E20" s="55" t="inlineStr">
        <is>
          <t>Unlevered (project)</t>
        </is>
      </c>
      <c r="F20" s="55" t="inlineStr">
        <is>
          <t>REAL</t>
        </is>
      </c>
      <c r="G20" s="55" t="inlineStr">
        <is>
          <t>Pre-tax</t>
        </is>
      </c>
      <c r="H20" s="55" t="inlineStr">
        <is>
          <t>GBP</t>
        </is>
      </c>
      <c r="I20" s="55" t="inlineStr">
        <is>
          <t>2016-20</t>
        </is>
      </c>
      <c r="J20" s="55" t="inlineStr">
        <is>
          <t>Official</t>
        </is>
      </c>
      <c r="K20" s="27" t="inlineStr">
        <is>
          <t>https://assets.publishing.service.gov.uk/media/5a8155f2e5274a2e87dbd11b/BEIS_Electricity_Generation_Cost_Report.pdf</t>
        </is>
      </c>
      <c r="L20" s="54" t="inlineStr">
        <is>
          <t>~7.8% real ≈ 9.5-10% nominal. Merchant new-build; revenue support LOWERS it. Best 'contracted thermal new-build' proxy.</t>
        </is>
      </c>
    </row>
    <row r="21" ht="60" customHeight="1">
      <c r="A21" s="53" t="inlineStr">
        <is>
          <t>DESNZ — Electricity Generation Costs 2025</t>
        </is>
      </c>
      <c r="B21" s="54" t="inlineStr">
        <is>
          <t>Gas + carbon capture (CCUS), DPA-contracted</t>
        </is>
      </c>
      <c r="C21" s="55" t="inlineStr">
        <is>
          <t>New-build (contracted)</t>
        </is>
      </c>
      <c r="D21" s="53" t="inlineStr">
        <is>
          <t>8.9% hurdle (mature)</t>
        </is>
      </c>
      <c r="E21" s="55" t="inlineStr">
        <is>
          <t>Unlevered (project)</t>
        </is>
      </c>
      <c r="F21" s="55" t="inlineStr">
        <is>
          <t>Pre-tax</t>
        </is>
      </c>
      <c r="G21" s="55" t="inlineStr">
        <is>
          <t>Pre-tax</t>
        </is>
      </c>
      <c r="H21" s="55" t="inlineStr">
        <is>
          <t>GBP</t>
        </is>
      </c>
      <c r="I21" s="55" t="inlineStr">
        <is>
          <t>2025</t>
        </is>
      </c>
      <c r="J21" s="55" t="inlineStr">
        <is>
          <t>Official</t>
        </is>
      </c>
      <c r="K21" s="27" t="inlineStr">
        <is>
          <t>https://assets.publishing.service.gov.uk/media/69ba657326909a14239612e3/electricity-generation-costs-report-2025.pdf</t>
        </is>
      </c>
      <c r="L21" s="54" t="inlineStr">
        <is>
          <t>NOTE: 8.9% is CCUS (contracted via DPA), NOT unabated gas. Don't cite as the merchant hurdle.</t>
        </is>
      </c>
    </row>
    <row r="22" ht="60" customHeight="1">
      <c r="A22" s="53" t="inlineStr">
        <is>
          <t>SEM (Ireland/NI) — Best New Entrant, CEPA/Ramboll</t>
        </is>
      </c>
      <c r="B22" s="54" t="inlineStr">
        <is>
          <t>OCGT peaker (I-SEM capacity market)</t>
        </is>
      </c>
      <c r="C22" s="55" t="inlineStr">
        <is>
          <t>New-build</t>
        </is>
      </c>
      <c r="D22" s="53" t="inlineStr">
        <is>
          <t>Pre-tax NOMINAL WACC 9.27%; net-CONE €107/kW-yr</t>
        </is>
      </c>
      <c r="E22" s="55" t="inlineStr">
        <is>
          <t>Unlevered (WACC)</t>
        </is>
      </c>
      <c r="F22" s="55" t="inlineStr">
        <is>
          <t>Nominal</t>
        </is>
      </c>
      <c r="G22" s="55" t="inlineStr">
        <is>
          <t>Pre-tax</t>
        </is>
      </c>
      <c r="H22" s="55" t="inlineStr">
        <is>
          <t>EUR</t>
        </is>
      </c>
      <c r="I22" s="55" t="inlineStr">
        <is>
          <t>2023</t>
        </is>
      </c>
      <c r="J22" s="55" t="inlineStr">
        <is>
          <t>Official</t>
        </is>
      </c>
      <c r="K22" s="27" t="inlineStr">
        <is>
          <t>https://www.semcommittee.com/publications/sem-23-016-best-new-entrant-decision-paper</t>
        </is>
      </c>
      <c r="L22" s="54" t="inlineStr">
        <is>
          <t>Peaker BNE WACC — directly comparable capacity-market hurdle.</t>
        </is>
      </c>
    </row>
    <row r="23" ht="60" customHeight="1">
      <c r="A23" s="53" t="inlineStr">
        <is>
          <t>Ofgem — interconnector cap &amp; floor (Nemo Link)</t>
        </is>
      </c>
      <c r="B23" s="54" t="inlineStr">
        <is>
          <t>Availability-based REGULATED analog</t>
        </is>
      </c>
      <c r="C23" s="55" t="inlineStr">
        <is>
          <t>Operating (regulated)</t>
        </is>
      </c>
      <c r="D23" s="53" t="inlineStr">
        <is>
          <t>Weighted WACC ~3.9% real; floor=CoD, cap=CoE on 100% RAV</t>
        </is>
      </c>
      <c r="E23" s="55" t="inlineStr">
        <is>
          <t>Unlevered (WACC)</t>
        </is>
      </c>
      <c r="F23" s="55" t="inlineStr">
        <is>
          <t>REAL</t>
        </is>
      </c>
      <c r="G23" s="55" t="inlineStr">
        <is>
          <t>Vanilla</t>
        </is>
      </c>
      <c r="H23" s="55" t="inlineStr">
        <is>
          <t>GBP</t>
        </is>
      </c>
      <c r="I23" s="55" t="inlineStr">
        <is>
          <t>2019-24</t>
        </is>
      </c>
      <c r="J23" s="55" t="inlineStr">
        <is>
          <t>Official</t>
        </is>
      </c>
      <c r="K23" s="27" t="inlineStr">
        <is>
          <t>https://www.ofgem.gov.uk/sites/default/files/2021-09/Regime%20Handbook.pdf</t>
        </is>
      </c>
      <c r="L23" s="54" t="inlineStr">
        <is>
          <t>Lowest anchor — a genuinely availability-remunerated, fully de-risked regulated asset.</t>
        </is>
      </c>
    </row>
    <row r="24" ht="60" customHeight="1">
      <c r="A24" s="53" t="inlineStr">
        <is>
          <t>GB Capacity Market — parameters/auctions</t>
        </is>
      </c>
      <c r="B24" s="54" t="inlineStr">
        <is>
          <t>Technology-neutral de-rated capacity</t>
        </is>
      </c>
      <c r="C24" s="55" t="inlineStr">
        <is>
          <t>All stages</t>
        </is>
      </c>
      <c r="D24" s="53" t="inlineStr">
        <is>
          <t>Net-CONE ~£49/kW-yr; T-4 clears £6-65/kW-yr</t>
        </is>
      </c>
      <c r="E24" s="55" t="inlineStr">
        <is>
          <t>n/a</t>
        </is>
      </c>
      <c r="F24" s="55" t="inlineStr">
        <is>
          <t>Nominal</t>
        </is>
      </c>
      <c r="G24" s="55" t="inlineStr">
        <is>
          <t>—</t>
        </is>
      </c>
      <c r="H24" s="55" t="inlineStr">
        <is>
          <t>GBP</t>
        </is>
      </c>
      <c r="I24" s="55" t="inlineStr">
        <is>
          <t>2018-25</t>
        </is>
      </c>
      <c r="J24" s="55" t="inlineStr">
        <is>
          <t>Official</t>
        </is>
      </c>
      <c r="K24" s="27" t="inlineStr">
        <is>
          <t>https://www.ofgem.gov.uk/sites/default/files/2025-09/annual-report-capacity-market-operations-2024-25.pdf</t>
        </is>
      </c>
      <c r="L24" s="54" t="inlineStr">
        <is>
          <t>Capacity PRICE, not a return. Volatile; net-CONE is the admin anchor.</t>
        </is>
      </c>
    </row>
    <row r="25" ht="60" customHeight="1">
      <c r="A25" s="53" t="inlineStr">
        <is>
          <t>Triangulated (GB)</t>
        </is>
      </c>
      <c r="B25" s="54" t="inlineStr">
        <is>
          <t>Operating, fully-contracted availability asset</t>
        </is>
      </c>
      <c r="C25" s="55" t="inlineStr">
        <is>
          <t>Operating, mid-life</t>
        </is>
      </c>
      <c r="D25" s="53" t="inlineStr">
        <is>
          <t>High-single-digit unlevered / low-double-digit levered equity</t>
        </is>
      </c>
      <c r="E25" s="55" t="inlineStr">
        <is>
          <t>Both</t>
        </is>
      </c>
      <c r="F25" s="55" t="inlineStr">
        <is>
          <t>Nominal</t>
        </is>
      </c>
      <c r="G25" s="55" t="inlineStr">
        <is>
          <t>—</t>
        </is>
      </c>
      <c r="H25" s="55" t="inlineStr">
        <is>
          <t>GBP</t>
        </is>
      </c>
      <c r="I25" s="55" t="inlineStr">
        <is>
          <t>2025</t>
        </is>
      </c>
      <c r="J25" s="55" t="inlineStr">
        <is>
          <t>Derived</t>
        </is>
      </c>
      <c r="K25" s="27" t="inlineStr">
        <is>
          <t>https://www.gov.uk/government/publications/hurdle-rate-estimates-for-electricity-sector-technologies</t>
        </is>
      </c>
      <c r="L25" s="54" t="inlineStr">
        <is>
          <t>Below the ~7.8% real (~9.5-10% nom) merchant new-build hurdle; above ~3.9% real regulated.</t>
        </is>
      </c>
    </row>
    <row r="26" ht="20" customHeight="1">
      <c r="A26" s="46" t="inlineStr">
        <is>
          <t>LATIN AMERICA — statutory capacity / reliability remuneration (mostly REAL, pre-tax)</t>
        </is>
      </c>
      <c r="B26" s="36" t="n"/>
      <c r="C26" s="36" t="n"/>
      <c r="D26" s="36" t="n"/>
      <c r="E26" s="36" t="n"/>
      <c r="F26" s="36" t="n"/>
      <c r="G26" s="36" t="n"/>
      <c r="H26" s="36" t="n"/>
      <c r="I26" s="36" t="n"/>
      <c r="J26" s="36" t="n"/>
      <c r="K26" s="36" t="n"/>
      <c r="L26" s="37" t="n"/>
    </row>
    <row r="27" ht="60" customHeight="1">
      <c r="A27" s="56" t="inlineStr">
        <is>
          <t>Peru — LCE (DL 25844) Art. 79 / OSINERGMIN</t>
        </is>
      </c>
      <c r="B27" s="57" t="inlineStr">
        <is>
          <t>Discount rate for regulated tariffs incl. precio basico de la potencia</t>
        </is>
      </c>
      <c r="C27" s="58" t="inlineStr">
        <is>
          <t>Operating (statutory)</t>
        </is>
      </c>
      <c r="D27" s="56" t="inlineStr">
        <is>
          <t>12% real</t>
        </is>
      </c>
      <c r="E27" s="58" t="inlineStr">
        <is>
          <t>Unlevered</t>
        </is>
      </c>
      <c r="F27" s="58" t="inlineStr">
        <is>
          <t>REAL</t>
        </is>
      </c>
      <c r="G27" s="58" t="inlineStr">
        <is>
          <t>Pre-tax</t>
        </is>
      </c>
      <c r="H27" s="58" t="inlineStr">
        <is>
          <t>constant</t>
        </is>
      </c>
      <c r="I27" s="58" t="inlineStr">
        <is>
          <t>statutory</t>
        </is>
      </c>
      <c r="J27" s="58" t="inlineStr">
        <is>
          <t>Official</t>
        </is>
      </c>
      <c r="K27" s="59" t="inlineStr">
        <is>
          <t>https://www.osinergmin.gob.pe/cartas/documentos/electricidad/normativa/LEY_CONCESIONES_ELECTRICAS.pdf</t>
        </is>
      </c>
      <c r="L27" s="57" t="inlineStr">
        <is>
          <t>VERIFIED: LCE Art. 79 fixes a 12% real annual 'tasa de actualizacion', used to annualise the reference unit's VNR into the capacity price. It is in the LAW, not a company report.</t>
        </is>
      </c>
    </row>
    <row r="28" ht="60" customHeight="1">
      <c r="A28" s="56" t="inlineStr">
        <is>
          <t>Chile — CNE (DFL; Leyes 20.936 &amp; 21.194)</t>
        </is>
      </c>
      <c r="B28" s="57" t="inlineStr">
        <is>
          <t>Regulated cost of capital / capacity-annuity discount rate</t>
        </is>
      </c>
      <c r="C28" s="58" t="inlineStr">
        <is>
          <t>Operating (statutory)</t>
        </is>
      </c>
      <c r="D28" s="56" t="inlineStr">
        <is>
          <t>Legacy 10% real; NOW 7-10% after-tax (transmission), 6-8% (distribution)</t>
        </is>
      </c>
      <c r="E28" s="58" t="inlineStr">
        <is>
          <t>Unlevered (WACC)</t>
        </is>
      </c>
      <c r="F28" s="58" t="inlineStr">
        <is>
          <t>Mixed</t>
        </is>
      </c>
      <c r="G28" s="58" t="inlineStr">
        <is>
          <t>Mixed</t>
        </is>
      </c>
      <c r="H28" s="58" t="inlineStr">
        <is>
          <t>real/AT</t>
        </is>
      </c>
      <c r="I28" s="58" t="inlineStr">
        <is>
          <t>2016-19</t>
        </is>
      </c>
      <c r="J28" s="58" t="inlineStr">
        <is>
          <t>Official</t>
        </is>
      </c>
      <c r="K28" s="59" t="inlineStr">
        <is>
          <t>https://www.cne.cl/en/tarificacion/electrica/precio-nudo-corto-plazo/</t>
        </is>
      </c>
      <c r="L28" s="57" t="inlineStr">
        <is>
          <t>CORRECTED: the fixed 10% real was REFORMED. Law 20.936 (2016) set transmission WACC 7-10% after-tax; Law 21.194 (2019) set distribution 6-8% after-tax. Treat 10% as a legacy upper bound, NOT the current rate.</t>
        </is>
      </c>
    </row>
    <row r="29" ht="60" customHeight="1">
      <c r="A29" s="56" t="inlineStr">
        <is>
          <t>Colombia — CREG Res. 103/2021 (natural GAS TRANSPORT)</t>
        </is>
      </c>
      <c r="B29" s="57" t="inlineStr">
        <is>
          <t>Regulated WACC for gas transport (TGI / Promigas)</t>
        </is>
      </c>
      <c r="C29" s="58" t="inlineStr">
        <is>
          <t>Operating (regulated)</t>
        </is>
      </c>
      <c r="D29" s="56" t="inlineStr">
        <is>
          <t>10.94% real (raised to 11.88% in 2023)</t>
        </is>
      </c>
      <c r="E29" s="58" t="inlineStr">
        <is>
          <t>Unlevered (WACC)</t>
        </is>
      </c>
      <c r="F29" s="58" t="inlineStr">
        <is>
          <t>REAL</t>
        </is>
      </c>
      <c r="G29" s="58" t="inlineStr">
        <is>
          <t>Pre-tax</t>
        </is>
      </c>
      <c r="H29" s="58" t="inlineStr">
        <is>
          <t>constant COP</t>
        </is>
      </c>
      <c r="I29" s="58" t="inlineStr">
        <is>
          <t>2021</t>
        </is>
      </c>
      <c r="J29" s="58" t="inlineStr">
        <is>
          <t>Official</t>
        </is>
      </c>
      <c r="K29" s="59" t="inlineStr">
        <is>
          <t>https://gestornormativo.creg.gov.co/gestor/entorno/docs/resolucion_creg_0103_2021.htm</t>
        </is>
      </c>
      <c r="L29" s="57" t="inlineStr">
        <is>
          <t>CORRECTED: this is the GAS-TRANSPORT discount rate (NOT electricity transmission), raised to 11.88% by Res. 102 002/2023 (same figure as the GEB gas-transport row). The electricity Cargo por Confiabilidad is auction-priced (US$/MWh), NOT a stated WACC.</t>
        </is>
      </c>
    </row>
    <row r="30" ht="60" customHeight="1">
      <c r="A30" s="56" t="inlineStr">
        <is>
          <t>Brazil — ANEEL regulatory WACC</t>
        </is>
      </c>
      <c r="B30" s="57" t="inlineStr">
        <is>
          <t>Regulated generation/transmission tariff assets</t>
        </is>
      </c>
      <c r="C30" s="58" t="inlineStr">
        <is>
          <t>Operating (regulated)</t>
        </is>
      </c>
      <c r="D30" s="56" t="inlineStr">
        <is>
          <t>~8.0% real after-tax (~12.1% pre-tax)</t>
        </is>
      </c>
      <c r="E30" s="58" t="inlineStr">
        <is>
          <t>Unlevered (WACC)</t>
        </is>
      </c>
      <c r="F30" s="58" t="inlineStr">
        <is>
          <t>REAL</t>
        </is>
      </c>
      <c r="G30" s="58" t="inlineStr">
        <is>
          <t>After-tax</t>
        </is>
      </c>
      <c r="H30" s="58" t="inlineStr">
        <is>
          <t>BRL</t>
        </is>
      </c>
      <c r="I30" s="58" t="inlineStr">
        <is>
          <t>Mar 2026</t>
        </is>
      </c>
      <c r="J30" s="58" t="inlineStr">
        <is>
          <t>Official</t>
        </is>
      </c>
      <c r="K30" s="59" t="inlineStr">
        <is>
          <t>https://www.gov.br/aneel/pt-br/assuntos/noticias/2026/aneel-atualiza-taxa-regulatoria-de-remuneracao-do-capital-wacc-regulatorio</t>
        </is>
      </c>
      <c r="L30" s="57" t="inlineStr">
        <is>
          <t>Regulated rate-base return — a floor for guaranteed cash flows.</t>
        </is>
      </c>
    </row>
    <row r="31" ht="60" customHeight="1">
      <c r="A31" s="56" t="inlineStr">
        <is>
          <t>Brazil — LRCAP capacity reserve auction (XP analyst model)</t>
        </is>
      </c>
      <c r="B31" s="57" t="inlineStr">
        <is>
          <t>NEW gas thermal, 15-yr fixed-revenue (receita fixa) availability contract</t>
        </is>
      </c>
      <c r="C31" s="58" t="inlineStr">
        <is>
          <t>New-build (contracted)</t>
        </is>
      </c>
      <c r="D31" s="56" t="inlineStr">
        <is>
          <t>~10% real unlevered viability hurdle</t>
        </is>
      </c>
      <c r="E31" s="58" t="inlineStr">
        <is>
          <t>Unlevered</t>
        </is>
      </c>
      <c r="F31" s="58" t="inlineStr">
        <is>
          <t>REAL</t>
        </is>
      </c>
      <c r="G31" s="58" t="inlineStr">
        <is>
          <t>Pre-financing</t>
        </is>
      </c>
      <c r="H31" s="58" t="inlineStr">
        <is>
          <t>BRL</t>
        </is>
      </c>
      <c r="I31" s="58" t="inlineStr">
        <is>
          <t>Nov 2025</t>
        </is>
      </c>
      <c r="J31" s="58" t="inlineStr">
        <is>
          <t>3rd-party</t>
        </is>
      </c>
      <c r="K31" s="59" t="inlineStr">
        <is>
          <t>https://researchxp1.s3.sa-east-1.amazonaws.com/2025.11.30+-+ENEV+IoC.pdf</t>
        </is>
      </c>
      <c r="L31" s="57" t="inlineStr">
        <is>
          <t>CLOSEST structural analogue: a 15-yr availability capacity contract. ~10% real is the MARGINAL new-build hurdle.</t>
        </is>
      </c>
    </row>
    <row r="32" ht="60" customHeight="1">
      <c r="A32" s="56" t="inlineStr">
        <is>
          <t>Brazil — Eneva (listed platform)</t>
        </is>
      </c>
      <c r="B32" s="57" t="inlineStr">
        <is>
          <t>De-risked contracted gas platform</t>
        </is>
      </c>
      <c r="C32" s="58" t="inlineStr">
        <is>
          <t>Operating/equity</t>
        </is>
      </c>
      <c r="D32" s="56" t="inlineStr">
        <is>
          <t>Cost of equity ~10-13% real; &gt;20% real realised (levered, M&amp;A alpha)</t>
        </is>
      </c>
      <c r="E32" s="58" t="inlineStr">
        <is>
          <t>Equity</t>
        </is>
      </c>
      <c r="F32" s="58" t="inlineStr">
        <is>
          <t>REAL</t>
        </is>
      </c>
      <c r="G32" s="58" t="inlineStr">
        <is>
          <t>—</t>
        </is>
      </c>
      <c r="H32" s="58" t="inlineStr">
        <is>
          <t>BRL</t>
        </is>
      </c>
      <c r="I32" s="58" t="inlineStr">
        <is>
          <t>2025-26</t>
        </is>
      </c>
      <c r="J32" s="58" t="inlineStr">
        <is>
          <t>3rd-party</t>
        </is>
      </c>
      <c r="K32" s="59" t="inlineStr">
        <is>
          <t>https://researchxp1.s3.sa-east-1.amazonaws.com/2025.11.30+-+ENEV+IoC.pdf</t>
        </is>
      </c>
      <c r="L32" s="57" t="inlineStr">
        <is>
          <t>Realised &gt;20% includes development/M&amp;A alpha, NOT a steady-state contracted-asset discount rate.</t>
        </is>
      </c>
    </row>
    <row r="33" ht="60" customHeight="1">
      <c r="A33" s="56" t="inlineStr">
        <is>
          <t>Brazil — Eneva Corporate Presentation Apr-2026 (slide 13)</t>
        </is>
      </c>
      <c r="B33" s="57" t="inlineStr">
        <is>
          <t>Eneva's OWN project real IRRs (see 'Eneva Project IRRs' tab)</t>
        </is>
      </c>
      <c r="C33" s="58" t="inlineStr">
        <is>
          <t>New-build &amp; operating</t>
        </is>
      </c>
      <c r="D33" s="56" t="inlineStr">
        <is>
          <t>Existing ~10-30% leveraged; LRCAP hubs ~14-27% unlevered</t>
        </is>
      </c>
      <c r="E33" s="58" t="inlineStr">
        <is>
          <t>Both</t>
        </is>
      </c>
      <c r="F33" s="58" t="inlineStr">
        <is>
          <t>REAL</t>
        </is>
      </c>
      <c r="G33" s="58" t="inlineStr">
        <is>
          <t>—</t>
        </is>
      </c>
      <c r="H33" s="58" t="inlineStr">
        <is>
          <t>BRL</t>
        </is>
      </c>
      <c r="I33" s="58" t="inlineStr">
        <is>
          <t>Apr 2026</t>
        </is>
      </c>
      <c r="J33" s="58" t="inlineStr">
        <is>
          <t>Official</t>
        </is>
      </c>
      <c r="K33" s="59" t="inlineStr">
        <is>
          <t>https://ri.eneva.com.br/en/financial-information/presentations-and-conference-calls/</t>
        </is>
      </c>
      <c r="L33" s="57" t="inlineStr">
        <is>
          <t>Eneva's OWN advantaged returns (captive cheap gas), NOT the market hurdle. Read off a chart (approximate).</t>
        </is>
      </c>
    </row>
    <row r="34" ht="60" customHeight="1">
      <c r="A34" s="56" t="inlineStr">
        <is>
          <t>Colombia — Cargo por Confiabilidad auction</t>
        </is>
      </c>
      <c r="B34" s="57" t="inlineStr">
        <is>
          <t>Firm-energy remuneration (reference OCGT)</t>
        </is>
      </c>
      <c r="C34" s="58" t="inlineStr">
        <is>
          <t>New/operating</t>
        </is>
      </c>
      <c r="D34" s="56" t="inlineStr">
        <is>
          <t>Auction price ~US$15.1/MWh (2019); ~US$18.2 (2024)</t>
        </is>
      </c>
      <c r="E34" s="58" t="inlineStr">
        <is>
          <t>n/a</t>
        </is>
      </c>
      <c r="F34" s="58" t="inlineStr">
        <is>
          <t>Nominal</t>
        </is>
      </c>
      <c r="G34" s="58" t="inlineStr">
        <is>
          <t>—</t>
        </is>
      </c>
      <c r="H34" s="58" t="inlineStr">
        <is>
          <t>USD</t>
        </is>
      </c>
      <c r="I34" s="58" t="inlineStr">
        <is>
          <t>2019-24</t>
        </is>
      </c>
      <c r="J34" s="58" t="inlineStr">
        <is>
          <t>3rd-party</t>
        </is>
      </c>
      <c r="K34" s="59" t="inlineStr">
        <is>
          <t>https://www.pv-magazine-latam.com/2019/03/01/colombia-asigna-139-gw-de-solar-y-eolica-en-la-subasta-de-cargo-por-confiabilidad/</t>
        </is>
      </c>
      <c r="L34" s="57" t="inlineStr">
        <is>
          <t>Capacity PRICE (US$/MWh of firm energy), not a return rate.</t>
        </is>
      </c>
    </row>
    <row r="35" ht="20" customHeight="1">
      <c r="A35" s="46" t="inlineStr">
        <is>
          <t>CROSS-MARKET — availability/contracted infrastructure equity IRRs &amp; spreads</t>
        </is>
      </c>
      <c r="B35" s="36" t="n"/>
      <c r="C35" s="36" t="n"/>
      <c r="D35" s="36" t="n"/>
      <c r="E35" s="36" t="n"/>
      <c r="F35" s="36" t="n"/>
      <c r="G35" s="36" t="n"/>
      <c r="H35" s="36" t="n"/>
      <c r="I35" s="36" t="n"/>
      <c r="J35" s="36" t="n"/>
      <c r="K35" s="36" t="n"/>
      <c r="L35" s="37" t="n"/>
    </row>
    <row r="36" ht="60" customHeight="1">
      <c r="A36" s="60" t="inlineStr">
        <is>
          <t>International Public Partnerships (INPP)</t>
        </is>
      </c>
      <c r="B36" s="61" t="inlineStr">
        <is>
          <t>98% availability-PPP / regulated portfolio</t>
        </is>
      </c>
      <c r="C36" s="62" t="inlineStr">
        <is>
          <t>Operating, contracted</t>
        </is>
      </c>
      <c r="D36" s="60" t="inlineStr">
        <is>
          <t>Discount rate 9.0% (risk premium 4.60%)</t>
        </is>
      </c>
      <c r="E36" s="62" t="inlineStr">
        <is>
          <t>Equity (fund)</t>
        </is>
      </c>
      <c r="F36" s="62" t="inlineStr">
        <is>
          <t>Nominal</t>
        </is>
      </c>
      <c r="G36" s="62" t="inlineStr">
        <is>
          <t>Post-tax</t>
        </is>
      </c>
      <c r="H36" s="62" t="inlineStr">
        <is>
          <t>GBP</t>
        </is>
      </c>
      <c r="I36" s="62" t="inlineStr">
        <is>
          <t>Dec 2024</t>
        </is>
      </c>
      <c r="J36" s="62" t="inlineStr">
        <is>
          <t>Official</t>
        </is>
      </c>
      <c r="K36" s="63" t="inlineStr">
        <is>
          <t>https://www.internationalpublicpartnerships.com/media/mnoa1kp4/inpp-2024-annual-report-vf.pdf</t>
        </is>
      </c>
      <c r="L36" s="61" t="inlineStr">
        <is>
          <t>Blend incl. regulated; elevated risk premium in high-rate env. Pure availability sleeve prices slightly below.</t>
        </is>
      </c>
    </row>
    <row r="37" ht="60" customHeight="1">
      <c r="A37" s="60" t="inlineStr">
        <is>
          <t>HICL Infrastructure</t>
        </is>
      </c>
      <c r="B37" s="61" t="inlineStr">
        <is>
          <t>~60% availability-PPP portfolio</t>
        </is>
      </c>
      <c r="C37" s="62" t="inlineStr">
        <is>
          <t>Operating, contracted</t>
        </is>
      </c>
      <c r="D37" s="60" t="inlineStr">
        <is>
          <t>Weighted-avg discount rate 8.4%</t>
        </is>
      </c>
      <c r="E37" s="62" t="inlineStr">
        <is>
          <t>Equity (fund)</t>
        </is>
      </c>
      <c r="F37" s="62" t="inlineStr">
        <is>
          <t>Nominal</t>
        </is>
      </c>
      <c r="G37" s="62" t="inlineStr">
        <is>
          <t>Post-tax</t>
        </is>
      </c>
      <c r="H37" s="62" t="inlineStr">
        <is>
          <t>GBP</t>
        </is>
      </c>
      <c r="I37" s="62" t="inlineStr">
        <is>
          <t>Mar 2025</t>
        </is>
      </c>
      <c r="J37" s="62" t="inlineStr">
        <is>
          <t>Official</t>
        </is>
      </c>
      <c r="K37" s="63" t="inlineStr">
        <is>
          <t>https://www.hicl.com/wp-content/uploads/2025/05/HICL_Interactive-Annual-Report-2025.pdf</t>
        </is>
      </c>
      <c r="L37" s="61" t="inlineStr">
        <is>
          <t>Availability-PPP heavy; among the lowest-risk contracted-infra discount rates disclosed.</t>
        </is>
      </c>
    </row>
    <row r="38" ht="60" customHeight="1">
      <c r="A38" s="60" t="inlineStr">
        <is>
          <t>The Renewables Infrastructure Group (TRIG)</t>
        </is>
      </c>
      <c r="B38" s="61" t="inlineStr">
        <is>
          <t>67% fixed-revenue contracted renewables</t>
        </is>
      </c>
      <c r="C38" s="62" t="inlineStr">
        <is>
          <t>Operating, mid-life</t>
        </is>
      </c>
      <c r="D38" s="60" t="inlineStr">
        <is>
          <t>Weighted-avg discount rate 8.6% (FY24)</t>
        </is>
      </c>
      <c r="E38" s="62" t="inlineStr">
        <is>
          <t>Equity (fund)</t>
        </is>
      </c>
      <c r="F38" s="62" t="inlineStr">
        <is>
          <t>Nominal</t>
        </is>
      </c>
      <c r="G38" s="62" t="inlineStr">
        <is>
          <t>Post-tax</t>
        </is>
      </c>
      <c r="H38" s="62" t="inlineStr">
        <is>
          <t>GBP</t>
        </is>
      </c>
      <c r="I38" s="62" t="inlineStr">
        <is>
          <t>FY2024</t>
        </is>
      </c>
      <c r="J38" s="62" t="inlineStr">
        <is>
          <t>Official</t>
        </is>
      </c>
      <c r="K38" s="63" t="inlineStr">
        <is>
          <t>https://www.trig-ltd.com/wp-content/uploads/2025/02/TRIG-FY-2024-Annual-Results-Presentation.pdf</t>
        </is>
      </c>
      <c r="L38" s="61" t="inlineStr">
        <is>
          <t>Operating, contracted-heavy — near the developed-market 'floor'.</t>
        </is>
      </c>
    </row>
    <row r="39" ht="60" customHeight="1">
      <c r="A39" s="60" t="inlineStr">
        <is>
          <t>Greencoat UK Wind</t>
        </is>
      </c>
      <c r="B39" s="61" t="inlineStr">
        <is>
          <t>Contracted renewables (fixed + merchant tail)</t>
        </is>
      </c>
      <c r="C39" s="62" t="inlineStr">
        <is>
          <t>Operating</t>
        </is>
      </c>
      <c r="D39" s="60" t="inlineStr">
        <is>
          <t>9.0% unlevered / 11% levered; lower rate for contracted vs merchant</t>
        </is>
      </c>
      <c r="E39" s="62" t="inlineStr">
        <is>
          <t>Both</t>
        </is>
      </c>
      <c r="F39" s="62" t="inlineStr">
        <is>
          <t>Nominal</t>
        </is>
      </c>
      <c r="G39" s="62" t="inlineStr">
        <is>
          <t>—</t>
        </is>
      </c>
      <c r="H39" s="62" t="inlineStr">
        <is>
          <t>GBP</t>
        </is>
      </c>
      <c r="I39" s="62" t="inlineStr">
        <is>
          <t>Jun 2025</t>
        </is>
      </c>
      <c r="J39" s="62" t="inlineStr">
        <is>
          <t>Official</t>
        </is>
      </c>
      <c r="K39" s="63" t="inlineStr">
        <is>
          <t>https://www.greencoat-ukwind.com/</t>
        </is>
      </c>
      <c r="L39" s="61" t="inlineStr">
        <is>
          <t>Explicitly discounts contracted cash flows at a LOWER rate than merchant.</t>
        </is>
      </c>
    </row>
    <row r="40" ht="60" customHeight="1">
      <c r="A40" s="60" t="inlineStr">
        <is>
          <t>Grant Thornton — Renewable Energy Cost of Capital survey</t>
        </is>
      </c>
      <c r="B40" s="61" t="inlineStr">
        <is>
          <t>Contracted vs merchant, same asset</t>
        </is>
      </c>
      <c r="C40" s="62" t="inlineStr">
        <is>
          <t>All</t>
        </is>
      </c>
      <c r="D40" s="60" t="inlineStr">
        <is>
          <t>Merchant carries +100-300 bps over contracted</t>
        </is>
      </c>
      <c r="E40" s="62" t="inlineStr">
        <is>
          <t>Equity</t>
        </is>
      </c>
      <c r="F40" s="62" t="inlineStr">
        <is>
          <t>—</t>
        </is>
      </c>
      <c r="G40" s="62" t="inlineStr">
        <is>
          <t>—</t>
        </is>
      </c>
      <c r="H40" s="62" t="inlineStr">
        <is>
          <t>—</t>
        </is>
      </c>
      <c r="I40" s="62" t="inlineStr">
        <is>
          <t>2025/26</t>
        </is>
      </c>
      <c r="J40" s="62" t="inlineStr">
        <is>
          <t>3rd-party</t>
        </is>
      </c>
      <c r="K40" s="63" t="inlineStr">
        <is>
          <t>https://www.grantthornton.ie/globalassets/1.-member-firms/ireland/insights/publications/grant-thornton---renewable-energy.pdf</t>
        </is>
      </c>
      <c r="L40" s="61" t="inlineStr">
        <is>
          <t>Quantifies the contracted DISCOUNT vs merchant: ~1-3 pp lower.</t>
        </is>
      </c>
    </row>
    <row r="41" ht="60" customHeight="1">
      <c r="A41" s="60" t="inlineStr">
        <is>
          <t>Green Giraffe Advisory</t>
        </is>
      </c>
      <c r="B41" s="61" t="inlineStr">
        <is>
          <t>Construction vs operating, same asset</t>
        </is>
      </c>
      <c r="C41" s="62" t="inlineStr">
        <is>
          <t>New-build vs operating</t>
        </is>
      </c>
      <c r="D41" s="60" t="inlineStr">
        <is>
          <t>Construction +100-200 bps over operating</t>
        </is>
      </c>
      <c r="E41" s="62" t="inlineStr">
        <is>
          <t>Project</t>
        </is>
      </c>
      <c r="F41" s="62" t="inlineStr">
        <is>
          <t>—</t>
        </is>
      </c>
      <c r="G41" s="62" t="inlineStr">
        <is>
          <t>—</t>
        </is>
      </c>
      <c r="H41" s="62" t="inlineStr">
        <is>
          <t>—</t>
        </is>
      </c>
      <c r="I41" s="62" t="inlineStr">
        <is>
          <t>recent</t>
        </is>
      </c>
      <c r="J41" s="62" t="inlineStr">
        <is>
          <t>3rd-party</t>
        </is>
      </c>
      <c r="K41" s="63" t="inlineStr">
        <is>
          <t>https://green-giraffe.com/publication/blog-post/the-price-is-right-how-much-is-your-renewable-energy-project-really-worth/</t>
        </is>
      </c>
      <c r="L41" s="61" t="inlineStr">
        <is>
          <t>The construction/new-build premium for a contracted asset (low end of the 150-300 bps range).</t>
        </is>
      </c>
    </row>
    <row r="42" ht="60" customHeight="1">
      <c r="A42" s="60" t="inlineStr">
        <is>
          <t>Energy-IB valuation convention</t>
        </is>
      </c>
      <c r="B42" s="61" t="inlineStr">
        <is>
          <t>Investment-grade contracted (long PPA)</t>
        </is>
      </c>
      <c r="C42" s="62" t="inlineStr">
        <is>
          <t>Operating</t>
        </is>
      </c>
      <c r="D42" s="60" t="inlineStr">
        <is>
          <t>6-9% unlevered / 8-12% levered; merchant tail 12-15%</t>
        </is>
      </c>
      <c r="E42" s="62" t="inlineStr">
        <is>
          <t>Both</t>
        </is>
      </c>
      <c r="F42" s="62" t="inlineStr">
        <is>
          <t>Nominal</t>
        </is>
      </c>
      <c r="G42" s="62" t="inlineStr">
        <is>
          <t>—</t>
        </is>
      </c>
      <c r="H42" s="62" t="inlineStr">
        <is>
          <t>—</t>
        </is>
      </c>
      <c r="I42" s="62" t="inlineStr">
        <is>
          <t>2024-25</t>
        </is>
      </c>
      <c r="J42" s="62" t="inlineStr">
        <is>
          <t>3rd-party</t>
        </is>
      </c>
      <c r="K42" s="63" t="inlineStr">
        <is>
          <t>https://ibinterviewquestions.com/guides/energy-investment-banking/renewable-energy-valuation-methods</t>
        </is>
      </c>
      <c r="L42" s="61" t="inlineStr">
        <is>
          <t>Practitioner convention; also gives the +300-600 bps merchant-tail step-up.</t>
        </is>
      </c>
    </row>
    <row r="43" ht="60" customHeight="1">
      <c r="A43" s="60" t="inlineStr">
        <is>
          <t>IFC — Returns on infra equity</t>
        </is>
      </c>
      <c r="B43" s="61" t="inlineStr">
        <is>
          <t>266 core-infra equity investments, EM vs DM</t>
        </is>
      </c>
      <c r="C43" s="62" t="inlineStr">
        <is>
          <t>All</t>
        </is>
      </c>
      <c r="D43" s="60" t="inlineStr">
        <is>
          <t>EM excess return ~+2.0 pp/yr over developed markets</t>
        </is>
      </c>
      <c r="E43" s="62" t="inlineStr">
        <is>
          <t>Equity (realised)</t>
        </is>
      </c>
      <c r="F43" s="62" t="inlineStr">
        <is>
          <t>—</t>
        </is>
      </c>
      <c r="G43" s="62" t="inlineStr">
        <is>
          <t>—</t>
        </is>
      </c>
      <c r="H43" s="62" t="inlineStr">
        <is>
          <t>—</t>
        </is>
      </c>
      <c r="I43" s="62" t="inlineStr">
        <is>
          <t>2025</t>
        </is>
      </c>
      <c r="J43" s="62" t="inlineStr">
        <is>
          <t>Official</t>
        </is>
      </c>
      <c r="K43" s="63" t="inlineStr">
        <is>
          <t>https://www.ifc.org/en/insights-reports/2025/financial-returns-on-equity-investments-in-infrastructure</t>
        </is>
      </c>
      <c r="L43" s="61" t="inlineStr">
        <is>
          <t>Evidence-based EM premium floor (more conservative than Damodaran's ~4%).</t>
        </is>
      </c>
    </row>
    <row r="44" ht="60" customHeight="1">
      <c r="A44" s="60" t="inlineStr">
        <is>
          <t>NAO (UK)</t>
        </is>
      </c>
      <c r="B44" s="61" t="inlineStr">
        <is>
          <t>Listed availability-PPP infrastructure</t>
        </is>
      </c>
      <c r="C44" s="62" t="inlineStr">
        <is>
          <t>Operating</t>
        </is>
      </c>
      <c r="D44" s="60" t="inlineStr">
        <is>
          <t>Realised investor return 7.3%/yr (2024)</t>
        </is>
      </c>
      <c r="E44" s="62" t="inlineStr">
        <is>
          <t>Equity</t>
        </is>
      </c>
      <c r="F44" s="62" t="inlineStr">
        <is>
          <t>Nominal</t>
        </is>
      </c>
      <c r="G44" s="62" t="inlineStr">
        <is>
          <t>Post-tax</t>
        </is>
      </c>
      <c r="H44" s="62" t="inlineStr">
        <is>
          <t>GBP</t>
        </is>
      </c>
      <c r="I44" s="62" t="inlineStr">
        <is>
          <t>2024</t>
        </is>
      </c>
      <c r="J44" s="62" t="inlineStr">
        <is>
          <t>Official</t>
        </is>
      </c>
      <c r="K44" s="63" t="inlineStr">
        <is>
          <t>https://www.nao.org.uk/wp-content/uploads/2025/03/lessons-learned-private-finance-for-infrastructure.pdf</t>
        </is>
      </c>
      <c r="L44" s="61" t="inlineStr">
        <is>
          <t>Realised (not target) return for availability-PPP; drifts with gilt yields.</t>
        </is>
      </c>
    </row>
  </sheetData>
  <mergeCells count="7">
    <mergeCell ref="A26:L26"/>
    <mergeCell ref="A2:L2"/>
    <mergeCell ref="A19:L19"/>
    <mergeCell ref="A11:L11"/>
    <mergeCell ref="A1:L1"/>
    <mergeCell ref="A35:L35"/>
    <mergeCell ref="A4:L4"/>
  </mergeCells>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2" r:id="rId7"/>
    <hyperlink xmlns:r="http://schemas.openxmlformats.org/officeDocument/2006/relationships" ref="K13" r:id="rId8"/>
    <hyperlink xmlns:r="http://schemas.openxmlformats.org/officeDocument/2006/relationships" ref="K14" r:id="rId9"/>
    <hyperlink xmlns:r="http://schemas.openxmlformats.org/officeDocument/2006/relationships" ref="K15" r:id="rId10"/>
    <hyperlink xmlns:r="http://schemas.openxmlformats.org/officeDocument/2006/relationships" ref="K16" r:id="rId11"/>
    <hyperlink xmlns:r="http://schemas.openxmlformats.org/officeDocument/2006/relationships" ref="K17" r:id="rId12"/>
    <hyperlink xmlns:r="http://schemas.openxmlformats.org/officeDocument/2006/relationships" ref="K18" r:id="rId13"/>
    <hyperlink xmlns:r="http://schemas.openxmlformats.org/officeDocument/2006/relationships" ref="K20" r:id="rId14"/>
    <hyperlink xmlns:r="http://schemas.openxmlformats.org/officeDocument/2006/relationships" ref="K21" r:id="rId15"/>
    <hyperlink xmlns:r="http://schemas.openxmlformats.org/officeDocument/2006/relationships" ref="K22" r:id="rId16"/>
    <hyperlink xmlns:r="http://schemas.openxmlformats.org/officeDocument/2006/relationships" ref="K23" r:id="rId17"/>
    <hyperlink xmlns:r="http://schemas.openxmlformats.org/officeDocument/2006/relationships" ref="K24" r:id="rId18"/>
    <hyperlink xmlns:r="http://schemas.openxmlformats.org/officeDocument/2006/relationships" ref="K25" r:id="rId19"/>
    <hyperlink xmlns:r="http://schemas.openxmlformats.org/officeDocument/2006/relationships" ref="K27" r:id="rId20"/>
    <hyperlink xmlns:r="http://schemas.openxmlformats.org/officeDocument/2006/relationships" ref="K28" r:id="rId21"/>
    <hyperlink xmlns:r="http://schemas.openxmlformats.org/officeDocument/2006/relationships" ref="K29" r:id="rId22"/>
    <hyperlink xmlns:r="http://schemas.openxmlformats.org/officeDocument/2006/relationships" ref="K30" r:id="rId23"/>
    <hyperlink xmlns:r="http://schemas.openxmlformats.org/officeDocument/2006/relationships" ref="K31"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K43" r:id="rId35"/>
    <hyperlink xmlns:r="http://schemas.openxmlformats.org/officeDocument/2006/relationships" ref="K44" r:id="rId3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E38"/>
  <sheetViews>
    <sheetView showGridLines="0" workbookViewId="0">
      <selection activeCell="A1" sqref="A1"/>
    </sheetView>
  </sheetViews>
  <sheetFormatPr baseColWidth="8" defaultRowHeight="15"/>
  <cols>
    <col width="3" customWidth="1" min="1" max="1"/>
    <col width="34" customWidth="1" min="2" max="2"/>
    <col width="30" customWidth="1" min="3" max="3"/>
    <col width="30" customWidth="1" min="4" max="4"/>
    <col width="30" customWidth="1" min="5" max="5"/>
  </cols>
  <sheetData>
    <row r="2" ht="24" customHeight="1">
      <c r="B2" s="64" t="inlineStr">
        <is>
          <t>Capacity-contract IRR benchmark — synthesis &amp; recommendation</t>
        </is>
      </c>
    </row>
    <row r="3" ht="42" customHeight="1">
      <c r="B3" s="2" t="inlineStr">
        <is>
          <t>Subject asset: OPERATING, fully-contracted power plant in Trinidad &amp; Tobago; ~97% capacity (availability) revenue, ~3% energy. Compiled Jul-2026 from 6 parallel research streams (T&amp;T, US PJM/ISO-NE, GB/Ireland, LatAm, cross-market infra funds, contract-lifecycle). Data &amp; links on the 'Capacity IRR Benchmarks' tab.</t>
        </is>
      </c>
    </row>
    <row r="5" ht="18" customHeight="1">
      <c r="B5" s="65" t="inlineStr">
        <is>
          <t>1) The core point</t>
        </is>
      </c>
    </row>
    <row r="6" ht="46" customHeight="1">
      <c r="B6" s="4" t="inlineStr">
        <is>
          <t>• A ~97%-capacity asset is NOT a merchant generator — it is availability-based. You are paid to be available, not to dispatch, so the discount rate should exclude the dispatch/spread/volume risk premium that merchant hurdles carry.</t>
        </is>
      </c>
    </row>
    <row r="7" ht="46" customHeight="1">
      <c r="B7" s="4" t="inlineStr">
        <is>
          <t>• So the right benchmark is a CONTRACTED / availability-based return, which sits BETWEEN a regulated utility WACC (floor) and a merchant developer hurdle (ceiling). Grant Thornton quantifies the contracted discount at ~100-300 bps below an otherwise-identical merchant plant; Greencoat and DESNZ (CCUS) confirm the direction.</t>
        </is>
      </c>
    </row>
    <row r="8" ht="46" customHeight="1">
      <c r="B8" s="4" t="inlineStr">
        <is>
          <t>• In Trinidad &amp; Tobago the dominant risks are NOT volume/merchant — they are (a) country risk and (b) T&amp;TEC offtaker credit (loss-making, in arrears, Ba2/BBB- sovereign, negative outlook). Those push the rate back UP, and because the offtaker is quasi-sovereign the country risk is not diversifiable here.</t>
        </is>
      </c>
    </row>
    <row r="10" ht="18" customHeight="1">
      <c r="B10" s="65" t="inlineStr">
        <is>
          <t>2) The benchmark ladder (what each tier tells you)</t>
        </is>
      </c>
    </row>
    <row r="11" ht="44" customHeight="1">
      <c r="B11" s="4" t="inlineStr">
        <is>
          <t>FLOOR — regulated / availability-remunerated returns: Ofgem interconnector cap-floor ~3.9% real (GB); FERC ROE ~9.3-10% nominal (US); ANEEL ~8% real after-tax (Brazil). A pure regulated stream.</t>
        </is>
      </c>
    </row>
    <row r="12" ht="44" customHeight="1">
      <c r="B12" s="4" t="inlineStr">
        <is>
          <t>YOUR ZONE — contracted / availability generation: developed-market ~7-9% levered equity nominal (TRIG 8.6%, HICL 8.4%, INPP 9.0%, Energy-IB 8-12%). LatAm regulated/statutory REAL rates: Peru 12% real (LCE Art. 79, verified); Chile legacy 10% real, now 7-10% after-tax post-reform (Laws 20.936/21.194); Colombia gas-transport WACC 10.94-11.88% real (CREG); Brazil ANEEL ~8% real after-tax; Brazil LRCAP new-build viability ~10% real unlevered (XP).</t>
        </is>
      </c>
    </row>
    <row r="13" ht="44" customHeight="1">
      <c r="B13" s="4" t="inlineStr">
        <is>
          <t>CEILING — merchant new-build hurdle: US CONE ATWACC 8.3-9.5% / ROE 13-16%; GB unabated-gas ~7.8% real (~9.5-10% nominal); NRG 12-15% unlevered. Your asset should be BELOW this on the revenue-risk axis.</t>
        </is>
      </c>
    </row>
    <row r="15" ht="18" customHeight="1">
      <c r="B15" s="65" t="inlineStr">
        <is>
          <t>3) Trinidad &amp; Tobago build-up (the number to use)</t>
        </is>
      </c>
    </row>
    <row r="16" ht="40" customHeight="1">
      <c r="B16" s="4" t="inlineStr">
        <is>
          <t>Developed-market contracted floor (~7-9% levered equity, nominal USD)  +  T&amp;T country-risk premium (Damodaran ~4.0%; IFC evidence ~+2 pp is a more conservative floor)  +  a T&amp;TEC offtaker-credit spread  −  a small credit for genuinely low volume risk and USD-linked capacity payments.</t>
        </is>
      </c>
    </row>
    <row r="17" ht="40" customHeight="1">
      <c r="B17" s="4" t="inlineStr">
        <is>
          <t>Local reality check: TGU's own senior USD debt yields ~8.1% (2025) — so equity must sit meaningfully above that. Generic contracted-IPP equity hurdles run ~12-13%.</t>
        </is>
      </c>
    </row>
    <row r="19" ht="30" customHeight="1">
      <c r="B19" s="65" t="inlineStr">
        <is>
          <t>RECOMMENDED BENCHMARK — Trinidad &amp; Tobago (nominal, post-tax, USD; levered equity IRR unless noted)</t>
        </is>
      </c>
    </row>
    <row r="20" ht="30" customHeight="1">
      <c r="B20" s="6" t="inlineStr">
        <is>
          <t>Contract-life stage</t>
        </is>
      </c>
      <c r="C20" s="6" t="inlineStr">
        <is>
          <t>T&amp;T levered equity IRR</t>
        </is>
      </c>
      <c r="D20" s="6" t="inlineStr">
        <is>
          <t>T&amp;T unlevered / project</t>
        </is>
      </c>
      <c r="E20" s="6" t="inlineStr">
        <is>
          <t>Developed-market equivalent (levered equity)</t>
        </is>
      </c>
    </row>
    <row r="21" ht="40" customHeight="1">
      <c r="B21" s="66" t="inlineStr">
        <is>
          <t>Operating, fully contracted (mid-life) — YOUR ASSET</t>
        </is>
      </c>
      <c r="C21" s="67" t="inlineStr">
        <is>
          <t>~11-13%  (central ~12%)</t>
        </is>
      </c>
      <c r="D21" s="67" t="inlineStr">
        <is>
          <t>~8-10%</t>
        </is>
      </c>
      <c r="E21" s="67" t="inlineStr">
        <is>
          <t>~7-9%</t>
        </is>
      </c>
    </row>
    <row r="22" ht="40" customHeight="1">
      <c r="B22" s="68" t="inlineStr">
        <is>
          <t>New-build, fully contracted</t>
        </is>
      </c>
      <c r="C22" s="69" t="inlineStr">
        <is>
          <t>~13-15%  (+150-300 bps)</t>
        </is>
      </c>
      <c r="D22" s="70" t="inlineStr">
        <is>
          <t>~10-12%</t>
        </is>
      </c>
      <c r="E22" s="70" t="inlineStr">
        <is>
          <t>~9-11%</t>
        </is>
      </c>
    </row>
    <row r="23" ht="40" customHeight="1">
      <c r="B23" s="71" t="inlineStr">
        <is>
          <t>Near end of PPA / re-contracting</t>
        </is>
      </c>
      <c r="C23" s="72" t="inlineStr">
        <is>
          <t>~14-16%+ (renewal-negotiation risk*)</t>
        </is>
      </c>
      <c r="D23" s="73" t="inlineStr">
        <is>
          <t>~11-13%+</t>
        </is>
      </c>
      <c r="E23" s="73" t="inlineStr">
        <is>
          <t>tail +300-600 bps (12-15% on residual)</t>
        </is>
      </c>
    </row>
    <row r="24" ht="40" customHeight="1">
      <c r="B24" s="68" t="inlineStr">
        <is>
          <t>Merchant reference (NOT your asset)</t>
        </is>
      </c>
      <c r="C24" s="69" t="inlineStr">
        <is>
          <t>n/a</t>
        </is>
      </c>
      <c r="D24" s="70" t="inlineStr">
        <is>
          <t>US CONE 8.3-9.5% WACC / 13-16% ROE; NRG 12-15% unlev</t>
        </is>
      </c>
      <c r="E24" s="70" t="inlineStr">
        <is>
          <t>—</t>
        </is>
      </c>
    </row>
    <row r="26" ht="46" customHeight="1">
      <c r="B26" s="2" t="inlineStr">
        <is>
          <t>* In T&amp;T, end-of-PPA risk is NOT a merchant-price tail (there is no competitive power market) — it is renewal-negotiation / stranded-asset risk with a single distressed monopsony offtaker. Local precedent: PowerGen's 2014 renewal cut offtake ~20% and led to a plant retirement. Trinity Power's PPA expires ~2028; a Draft National Electricity Policy (Jan-2026) proposes competitive-market reform.</t>
        </is>
      </c>
    </row>
    <row r="28" ht="18" customHeight="1">
      <c r="B28" s="65" t="inlineStr">
        <is>
          <t>4) How to apply / annotate (per your 'find official reporting then annotate' steer)</t>
        </is>
      </c>
    </row>
    <row r="29" ht="40" customHeight="1">
      <c r="B29" s="4" t="inlineStr">
        <is>
          <t>• State the basis explicitly. The recommendation above is nominal, post-tax, USD, levered equity. To convert: LatAm statutory rates are REAL (add ~3-5% inflation); GB/US CONE are pre-tax or WACC (not equity); infra-fund rates are nominal post-tax levered.</t>
        </is>
      </c>
    </row>
    <row r="30" ht="40" customHeight="1">
      <c r="B30" s="4" t="inlineStr">
        <is>
          <t>• Unlevered vs levered: subtract ~150-300 bps from the levered equity figure for an unlevered/project IRR (at typical ~50-60% gearing).</t>
        </is>
      </c>
    </row>
    <row r="31" ht="40" customHeight="1">
      <c r="B31" s="4" t="inlineStr">
        <is>
          <t>• The single most decisive input is the T&amp;TEC offtaker-credit view. If you can support a stronger (quasi-sovereign, USD-backed) offtaker assumption, the rate moves toward the lower end (~11%); a weaker view pushes it toward/above the upper end (~13-14%).</t>
        </is>
      </c>
    </row>
    <row r="32" ht="40" customHeight="1">
      <c r="B32" s="4" t="inlineStr">
        <is>
          <t>• Sanity anchors to cite: TGU USD debt ~8.1% (local, hard); Damodaran T&amp;T CRP ~4.0%; Brazil LRCAP ~10% real unlevered (closest structural analogue); developed-market contracted equity 7-9%.</t>
        </is>
      </c>
    </row>
    <row r="34" ht="18" customHeight="1">
      <c r="B34" s="65" t="inlineStr">
        <is>
          <t>5) Caveats</t>
        </is>
      </c>
    </row>
    <row r="35" ht="34" customHeight="1">
      <c r="B35" s="4" t="inlineStr">
        <is>
          <t>• Basis mismatch is the biggest trap — every headline number above is on a different basis; the columns on the data tab flag it per row.</t>
        </is>
      </c>
    </row>
    <row r="36" ht="34" customHeight="1">
      <c r="B36" s="4" t="inlineStr">
        <is>
          <t>• No disclosed T&amp;T IPP equity IRR exists (PPAs are confidential). The ~11-14% T&amp;T figure is a reasoned build-up, not an observed transaction.</t>
        </is>
      </c>
    </row>
    <row r="37" ht="34" customHeight="1">
      <c r="B37" s="4" t="inlineStr">
        <is>
          <t>• Verification: this environment's egress policy 403-blocked many official PDFs (PJM, BEIS, CREG, CNE, company IR). Figures were captured via web-search of those official documents; the links are canonical — verify the load-bearing numbers (PJM CONE, BEIS 7.8%, Damodaran T&amp;T, Peru/Chile annuity rates) at source before using in a valuation.</t>
        </is>
      </c>
    </row>
    <row r="38" ht="34" customHeight="1">
      <c r="B38" s="4" t="inlineStr">
        <is>
          <t>• The ~3% energy slice: immaterial, but if it is merchant/volume-exposed it warrants a marginally higher blended rate.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F28"/>
  <sheetViews>
    <sheetView showGridLines="0" workbookViewId="0">
      <selection activeCell="A1" sqref="A1"/>
    </sheetView>
  </sheetViews>
  <sheetFormatPr baseColWidth="8" defaultRowHeight="15"/>
  <cols>
    <col width="3" customWidth="1" min="1" max="1"/>
    <col width="46" customWidth="1" min="2" max="2"/>
    <col width="15" customWidth="1" min="3" max="3"/>
    <col width="15" customWidth="1" min="4" max="4"/>
    <col width="15" customWidth="1" min="5" max="5"/>
    <col width="54" customWidth="1" min="6" max="6"/>
  </cols>
  <sheetData>
    <row r="1" ht="24" customHeight="1">
      <c r="B1" s="74" t="inlineStr">
        <is>
          <t>Capacity-asset discount-rate calculator — Trinidad &amp; Tobago  (CAPM build-up + WACC)</t>
        </is>
      </c>
    </row>
    <row r="2" ht="46" customHeight="1">
      <c r="B2" s="75" t="inlineStr">
        <is>
          <t>Edit the BLUE cells. The YELLOW cell — T&amp;TEC offtaker credit spread — is the main dial. Black cells are formulas. Three columns = Strong / Base / Weak offtaker-credit views, giving a range. Outputs are nominal USD; real-terms equivalents shown for comparison with LatAm statutory rates.</t>
        </is>
      </c>
    </row>
    <row r="4" ht="26" customHeight="1">
      <c r="B4" s="6" t="inlineStr">
        <is>
          <t>Input / Output</t>
        </is>
      </c>
      <c r="C4" s="6" t="inlineStr">
        <is>
          <t>Strong offtaker</t>
        </is>
      </c>
      <c r="D4" s="6" t="inlineStr">
        <is>
          <t>Base case</t>
        </is>
      </c>
      <c r="E4" s="6" t="inlineStr">
        <is>
          <t>Weak offtaker</t>
        </is>
      </c>
      <c r="F4" s="6" t="inlineStr">
        <is>
          <t>Basis / source anchor</t>
        </is>
      </c>
    </row>
    <row r="5" ht="18" customHeight="1">
      <c r="B5" s="76" t="inlineStr">
        <is>
          <t>INPUTS  (edit the blue / yellow cells)</t>
        </is>
      </c>
    </row>
    <row r="6">
      <c r="B6" s="77" t="inlineStr">
        <is>
          <t>Risk-free rate (US 20Y Treasury, nominal USD)</t>
        </is>
      </c>
      <c r="C6" s="78" t="n">
        <v>0.043</v>
      </c>
      <c r="D6" s="78" t="n">
        <v>0.043</v>
      </c>
      <c r="E6" s="78" t="n">
        <v>0.043</v>
      </c>
      <c r="F6" s="79" t="inlineStr">
        <is>
          <t>US Treasury ~4.3% (2026) — update to current</t>
        </is>
      </c>
    </row>
    <row r="7">
      <c r="B7" s="77" t="inlineStr">
        <is>
          <t>Mature-market equity risk premium</t>
        </is>
      </c>
      <c r="C7" s="78" t="n">
        <v>0.0433</v>
      </c>
      <c r="D7" s="78" t="n">
        <v>0.0433</v>
      </c>
      <c r="E7" s="78" t="n">
        <v>0.0433</v>
      </c>
      <c r="F7" s="79" t="inlineStr">
        <is>
          <t>Damodaran US ERP 4.33% (Jan-25)</t>
        </is>
      </c>
    </row>
    <row r="8">
      <c r="B8" s="77" t="inlineStr">
        <is>
          <t>Asset beta (relevered) — contracted/availability</t>
        </is>
      </c>
      <c r="C8" s="80" t="n">
        <v>0.6</v>
      </c>
      <c r="D8" s="80" t="n">
        <v>0.65</v>
      </c>
      <c r="E8" s="80" t="n">
        <v>0.75</v>
      </c>
      <c r="F8" s="79" t="inlineStr">
        <is>
          <t>Low: availability revenue ~ no volume risk (~0.4-0.5 unlevered)</t>
        </is>
      </c>
    </row>
    <row r="9">
      <c r="B9" s="77" t="inlineStr">
        <is>
          <t>Country risk premium — Trinidad &amp; Tobago</t>
        </is>
      </c>
      <c r="C9" s="78" t="n">
        <v>0.04</v>
      </c>
      <c r="D9" s="78" t="n">
        <v>0.04</v>
      </c>
      <c r="E9" s="78" t="n">
        <v>0.045</v>
      </c>
      <c r="F9" s="79" t="inlineStr">
        <is>
          <t>Damodaran T&amp;T CRP ~4.0% (Ba2); raise for a weaker sovereign view</t>
        </is>
      </c>
    </row>
    <row r="10">
      <c r="B10" s="77" t="inlineStr">
        <is>
          <t>T&amp;TEC offtaker credit spread  &lt;&lt;&lt; KEY DIAL</t>
        </is>
      </c>
      <c r="C10" s="81" t="n">
        <v>0.005</v>
      </c>
      <c r="D10" s="81" t="n">
        <v>0.01</v>
      </c>
      <c r="E10" s="81" t="n">
        <v>0.03</v>
      </c>
      <c r="F10" s="79" t="inlineStr">
        <is>
          <t>The lever: 0.5% = strong quasi-sovereign/USD-backed view; 3.0% = distressed monopsony</t>
        </is>
      </c>
    </row>
    <row r="11">
      <c r="B11" s="77" t="inlineStr">
        <is>
          <t>Pre-tax cost of debt</t>
        </is>
      </c>
      <c r="C11" s="78" t="n">
        <v>0.075</v>
      </c>
      <c r="D11" s="78" t="n">
        <v>0.081</v>
      </c>
      <c r="E11" s="78" t="n">
        <v>0.09</v>
      </c>
      <c r="F11" s="79" t="inlineStr">
        <is>
          <t>Anchor: TGU senior USD notes ~8.1% yield (2025)</t>
        </is>
      </c>
    </row>
    <row r="12">
      <c r="B12" s="77" t="inlineStr">
        <is>
          <t>Corporate tax rate (T&amp;T)</t>
        </is>
      </c>
      <c r="C12" s="78" t="n">
        <v>0.3</v>
      </c>
      <c r="D12" s="78" t="n">
        <v>0.3</v>
      </c>
      <c r="E12" s="78" t="n">
        <v>0.3</v>
      </c>
      <c r="F12" s="79" t="inlineStr">
        <is>
          <t>T&amp;T corporation tax ~30% — verify for the entity</t>
        </is>
      </c>
    </row>
    <row r="13">
      <c r="B13" s="77" t="inlineStr">
        <is>
          <t>Gearing (debt % of capital)</t>
        </is>
      </c>
      <c r="C13" s="78" t="n">
        <v>0.65</v>
      </c>
      <c r="D13" s="78" t="n">
        <v>0.6</v>
      </c>
      <c r="E13" s="78" t="n">
        <v>0.5</v>
      </c>
      <c r="F13" s="79" t="inlineStr">
        <is>
          <t>Project finance typical 50-70%</t>
        </is>
      </c>
    </row>
    <row r="14">
      <c r="B14" s="77" t="inlineStr">
        <is>
          <t>Expected US inflation (for real conversion)</t>
        </is>
      </c>
      <c r="C14" s="78" t="n">
        <v>0.023</v>
      </c>
      <c r="D14" s="78" t="n">
        <v>0.023</v>
      </c>
      <c r="E14" s="78" t="n">
        <v>0.023</v>
      </c>
      <c r="F14" s="79" t="inlineStr">
        <is>
          <t>~2.3% — for nominal -&gt; real (Fisher)</t>
        </is>
      </c>
    </row>
    <row r="15" ht="18" customHeight="1">
      <c r="B15" s="76" t="inlineStr">
        <is>
          <t>BUILD-UP  (formulas)</t>
        </is>
      </c>
    </row>
    <row r="16">
      <c r="B16" s="77" t="inlineStr">
        <is>
          <t>Cost of equity  Ke = Rf + β×ERP + CRP + offtaker spread</t>
        </is>
      </c>
      <c r="C16" s="82">
        <f>C6+C8*C7+C9+C10</f>
        <v/>
      </c>
      <c r="D16" s="82">
        <f>D6+D8*D7+D9+D10</f>
        <v/>
      </c>
      <c r="E16" s="82">
        <f>E6+E8*E7+E9+E10</f>
        <v/>
      </c>
      <c r="F16" s="79" t="inlineStr">
        <is>
          <t>CAPM build-up with full country risk (offtaker is quasi-sovereign, so CRP applies)</t>
        </is>
      </c>
    </row>
    <row r="17">
      <c r="B17" s="77" t="inlineStr">
        <is>
          <t>After-tax cost of debt = Kd × (1 − tax)</t>
        </is>
      </c>
      <c r="C17" s="82">
        <f>C11*(1-C12)</f>
        <v/>
      </c>
      <c r="D17" s="82">
        <f>D11*(1-D12)</f>
        <v/>
      </c>
      <c r="E17" s="82">
        <f>E11*(1-E12)</f>
        <v/>
      </c>
      <c r="F17" s="79" t="inlineStr"/>
    </row>
    <row r="18">
      <c r="B18" s="77" t="inlineStr">
        <is>
          <t>Equity weight = 1 − gearing</t>
        </is>
      </c>
      <c r="C18" s="82">
        <f>1-C13</f>
        <v/>
      </c>
      <c r="D18" s="82">
        <f>1-D13</f>
        <v/>
      </c>
      <c r="E18" s="82">
        <f>1-E13</f>
        <v/>
      </c>
      <c r="F18" s="79" t="inlineStr"/>
    </row>
    <row r="19" ht="18" customHeight="1">
      <c r="B19" s="76" t="inlineStr">
        <is>
          <t>OUTPUTS</t>
        </is>
      </c>
    </row>
    <row r="20">
      <c r="B20" s="83" t="inlineStr">
        <is>
          <t>&gt;&gt;  Levered equity IRR / discount rate  (nominal, USD)</t>
        </is>
      </c>
      <c r="C20" s="84">
        <f>C16</f>
        <v/>
      </c>
      <c r="D20" s="84">
        <f>D16</f>
        <v/>
      </c>
      <c r="E20" s="84">
        <f>E16</f>
        <v/>
      </c>
      <c r="F20" s="85" t="inlineStr">
        <is>
          <t>Target LEVERED EQUITY IRR</t>
        </is>
      </c>
    </row>
    <row r="21">
      <c r="B21" s="83" t="inlineStr">
        <is>
          <t>&gt;&gt;  Project / unlevered discount rate — WACC  (nominal, USD)</t>
        </is>
      </c>
      <c r="C21" s="84">
        <f>C18*C16+C13*C17</f>
        <v/>
      </c>
      <c r="D21" s="84">
        <f>D18*D16+D13*D17</f>
        <v/>
      </c>
      <c r="E21" s="84">
        <f>E18*E16+E13*E17</f>
        <v/>
      </c>
      <c r="F21" s="85" t="inlineStr">
        <is>
          <t>Unlevered / project discount rate</t>
        </is>
      </c>
    </row>
    <row r="22">
      <c r="B22" s="77" t="inlineStr">
        <is>
          <t xml:space="preserve">     Levered equity IRR  (REAL)</t>
        </is>
      </c>
      <c r="C22" s="82">
        <f>(1+C20)/(1+C14)-1</f>
        <v/>
      </c>
      <c r="D22" s="82">
        <f>(1+D20)/(1+D14)-1</f>
        <v/>
      </c>
      <c r="E22" s="82">
        <f>(1+E20)/(1+E14)-1</f>
        <v/>
      </c>
      <c r="F22" s="79" t="inlineStr">
        <is>
          <t>Compare with LatAm statutory REAL rates</t>
        </is>
      </c>
    </row>
    <row r="23">
      <c r="B23" s="77" t="inlineStr">
        <is>
          <t xml:space="preserve">     WACC  (REAL)</t>
        </is>
      </c>
      <c r="C23" s="82">
        <f>(1+C21)/(1+C14)-1</f>
        <v/>
      </c>
      <c r="D23" s="82">
        <f>(1+D21)/(1+D14)-1</f>
        <v/>
      </c>
      <c r="E23" s="82">
        <f>(1+E21)/(1+E14)-1</f>
        <v/>
      </c>
      <c r="F23" s="79" t="inlineStr">
        <is>
          <t>Peru 12% / Chile ~10% / Brazil LRCAP ~10% real</t>
        </is>
      </c>
    </row>
    <row r="25" ht="28" customHeight="1">
      <c r="B25" s="88" t="inlineStr">
        <is>
          <t>Illustrative outputs at the default inputs (the cells above auto-recalculate on open/edit):  Levered equity IRR (Ke) ≈ 11.4% / 12.1% / 15.0%   ·   WACC ≈ 7.4% / 8.2% / 10.7%   ·   Ke real ≈ 8.9% / 9.6% / 12.5%   (Strong / Base / Weak offtaker).</t>
        </is>
      </c>
    </row>
    <row r="26" ht="30" customHeight="1">
      <c r="B26" s="86" t="inlineStr">
        <is>
          <t>Benchmark cross-check (operating, fully-contracted T&amp;T): levered equity IRR ~11-13% nominal (central ~12%); unlevered/WACC ~8-10%. Base-case defaults above are set to land in that zone.</t>
        </is>
      </c>
    </row>
    <row r="27" ht="30" customHeight="1">
      <c r="B27" s="86" t="inlineStr">
        <is>
          <t>Lifecycle adjustment (apply on top of the output): NEW-BUILD +150-300 bps (construction); NEAR END OF PPA add a renewal-negotiation premium (T&amp;T has no merchant tail — it's re-contracting/stranded-asset risk with a single offtaker).</t>
        </is>
      </c>
    </row>
    <row r="28" ht="30" customHeight="1">
      <c r="B28" s="87" t="inlineStr">
        <is>
          <t>Legend:  BLUE = input (edit)   ·   YELLOW = key dial (offtaker spread)   ·   BLACK = formula   ·   GREEN = output.   This is a screening tool, not a substitute for a full project-finance model (debt sculpting, DSCR, tax shields, timing). All figures nominal USD unless labelled REAL.</t>
        </is>
      </c>
    </row>
  </sheetData>
  <mergeCells count="9">
    <mergeCell ref="B2:F2"/>
    <mergeCell ref="B15:F15"/>
    <mergeCell ref="B25:F25"/>
    <mergeCell ref="B28:F28"/>
    <mergeCell ref="B19:F19"/>
    <mergeCell ref="B5:F5"/>
    <mergeCell ref="B1:F1"/>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2026-07-30T14:39:45Z</dcterms:created>
  <dcterms:modified xsi:type="dcterms:W3CDTF">2026-07-31T13:50:17Z</dcterms:modified>
</cp:coreProperties>
</file>